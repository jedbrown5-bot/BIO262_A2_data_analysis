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te List" sheetId="1" state="visible" r:id="rId3"/>
    <sheet name="Canopy Height" sheetId="2" state="visible" r:id="rId4"/>
    <sheet name="Tree Density" sheetId="3" state="visible" r:id="rId5"/>
    <sheet name="Basal Area" sheetId="4" state="visible" r:id="rId6"/>
    <sheet name="Canopy Cover" sheetId="5" state="visible" r:id="rId7"/>
    <sheet name="Shrub Cover" sheetId="6" state="visible" r:id="rId8"/>
    <sheet name="Ground Cover" sheetId="7" state="visible" r:id="rId9"/>
    <sheet name="Species Richness" sheetId="8" state="visible" r:id="rId10"/>
    <sheet name="Shrub Species Composition" sheetId="9" state="visible" r:id="rId11"/>
    <sheet name="Tree Species Composi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Shrubs = distinct shrub species recorded per plot (from Shrub Species Composition). Trees = distinct tree species per plot (from Tree Species Composition). Morphospecies (e.g. "Unknown species 1", "Unknown A") counted as separate species; "No shrub species recorded" counted as 0. Derived values, not raw field entries.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47" authorId="0">
      <text>
        <r>
          <rPr>
            <sz val="10"/>
            <rFont val="Arial"/>
            <family val="2"/>
          </rPr>
          <t xml:space="preserve">Mihaila, Eliza:
VERY SMALL LEAVES</t>
        </r>
      </text>
    </comment>
  </commentList>
</comments>
</file>

<file path=xl/sharedStrings.xml><?xml version="1.0" encoding="utf-8"?>
<sst xmlns="http://schemas.openxmlformats.org/spreadsheetml/2006/main" count="6669" uniqueCount="164">
  <si>
    <t xml:space="preserve">Site</t>
  </si>
  <si>
    <t xml:space="preserve">Name</t>
  </si>
  <si>
    <t xml:space="preserve">Vegetation Community</t>
  </si>
  <si>
    <t xml:space="preserve">Perch Hole</t>
  </si>
  <si>
    <t xml:space="preserve">Swampy Paperbark Forest</t>
  </si>
  <si>
    <t xml:space="preserve">Henry Kendall Reserve</t>
  </si>
  <si>
    <t xml:space="preserve">Wet Sclerophyll Forest</t>
  </si>
  <si>
    <t xml:space="preserve">Harrington Beach State Park</t>
  </si>
  <si>
    <t xml:space="preserve">Littoral Rainforest</t>
  </si>
  <si>
    <t xml:space="preserve">Diamond Head</t>
  </si>
  <si>
    <t xml:space="preserve">Heathland</t>
  </si>
  <si>
    <t xml:space="preserve">Intensive</t>
  </si>
  <si>
    <t xml:space="preserve">Date</t>
  </si>
  <si>
    <t xml:space="preserve">Group</t>
  </si>
  <si>
    <t xml:space="preserve">Observer 1</t>
  </si>
  <si>
    <t xml:space="preserve">Observer 2</t>
  </si>
  <si>
    <t xml:space="preserve">Observer 3</t>
  </si>
  <si>
    <t xml:space="preserve">Observer 4</t>
  </si>
  <si>
    <t xml:space="preserve">Observer 5</t>
  </si>
  <si>
    <t xml:space="preserve">Height (m)</t>
  </si>
  <si>
    <t xml:space="preserve">PMQ</t>
  </si>
  <si>
    <t xml:space="preserve">Jordan Taylor</t>
  </si>
  <si>
    <t xml:space="preserve">Joseph Rassoul</t>
  </si>
  <si>
    <t xml:space="preserve">Josh Barker</t>
  </si>
  <si>
    <t xml:space="preserve">Garreth Yeoman</t>
  </si>
  <si>
    <t xml:space="preserve">NA</t>
  </si>
  <si>
    <t xml:space="preserve">Clara Boase</t>
  </si>
  <si>
    <t xml:space="preserve">Airlie Smith</t>
  </si>
  <si>
    <t xml:space="preserve">Megan Pieschel</t>
  </si>
  <si>
    <t xml:space="preserve">Lilli Henry</t>
  </si>
  <si>
    <t xml:space="preserve">Kiara Tuschin</t>
  </si>
  <si>
    <t xml:space="preserve">Yvette Germana</t>
  </si>
  <si>
    <t xml:space="preserve">Eliza Mihaila</t>
  </si>
  <si>
    <t xml:space="preserve">Isaac Redgrove</t>
  </si>
  <si>
    <t xml:space="preserve">Luke Gray</t>
  </si>
  <si>
    <t xml:space="preserve">Calleigh Scislo</t>
  </si>
  <si>
    <t xml:space="preserve">Callum Kous</t>
  </si>
  <si>
    <t xml:space="preserve">Emily Tester</t>
  </si>
  <si>
    <t xml:space="preserve">Kallee Rutledge</t>
  </si>
  <si>
    <t xml:space="preserve">Mathew Holmes</t>
  </si>
  <si>
    <t xml:space="preserve">Mean</t>
  </si>
  <si>
    <t xml:space="preserve">Calculate the mean using the formula =AVERAGE(cell range)</t>
  </si>
  <si>
    <t xml:space="preserve">SE</t>
  </si>
  <si>
    <t xml:space="preserve">Calculate the standard error using the formula =STDEV(cell range)/SQRT(COUNT(cell range))</t>
  </si>
  <si>
    <t xml:space="preserve">t*SE</t>
  </si>
  <si>
    <t xml:space="preserve">Calculate the error margin for the 95% CI using the formula =T.INV.2T(0.05,(COUNT(cell range)-1))*SE</t>
  </si>
  <si>
    <t xml:space="preserve">No. Trees per plot</t>
  </si>
  <si>
    <t xml:space="preserve">Plot Area</t>
  </si>
  <si>
    <t xml:space="preserve">Tree Density (No/ha)</t>
  </si>
  <si>
    <t xml:space="preserve">Trees &lt; 10 cm DBH</t>
  </si>
  <si>
    <t xml:space="preserve">Trees ≥ 10 cm DBH</t>
  </si>
  <si>
    <t xml:space="preserve">Area (ha)</t>
  </si>
  <si>
    <t xml:space="preserve">Basal Area (m2/ha)</t>
  </si>
  <si>
    <t xml:space="preserve">Factor Gauge Method</t>
  </si>
  <si>
    <t xml:space="preserve">Plot Method</t>
  </si>
  <si>
    <t xml:space="preserve">Canopy Cover (%)</t>
  </si>
  <si>
    <t xml:space="preserve">Line Intercept Method</t>
  </si>
  <si>
    <t xml:space="preserve">Spherical Densiometer Method</t>
  </si>
  <si>
    <t xml:space="preserve">Shrub Cover (%)</t>
  </si>
  <si>
    <t xml:space="preserve">Subplot Method</t>
  </si>
  <si>
    <t xml:space="preserve">Point Quadrat (Visual Estimation) Method</t>
  </si>
  <si>
    <t xml:space="preserve">Point Intercept Method</t>
  </si>
  <si>
    <t xml:space="preserve">Native Grasses, Sedges and Other Graminoids</t>
  </si>
  <si>
    <t xml:space="preserve">Exotic Grasses, Sedges and Other Graminoids</t>
  </si>
  <si>
    <t xml:space="preserve">Orchids</t>
  </si>
  <si>
    <t xml:space="preserve">Herbs, Lilies and Forbs</t>
  </si>
  <si>
    <t xml:space="preserve">Vines &amp; Scramblers</t>
  </si>
  <si>
    <t xml:space="preserve">Woody Seedlings</t>
  </si>
  <si>
    <t xml:space="preserve">Ferns</t>
  </si>
  <si>
    <t xml:space="preserve">Mosses and Lichens</t>
  </si>
  <si>
    <t xml:space="preserve">Fungi</t>
  </si>
  <si>
    <t xml:space="preserve">Leaf Litter</t>
  </si>
  <si>
    <t xml:space="preserve">Coarse Woody Debris</t>
  </si>
  <si>
    <t xml:space="preserve">Bare Ground</t>
  </si>
  <si>
    <t xml:space="preserve">calculate the standard error using the formula =STDEV(cell range)/SQRT(COUNT(cell range))</t>
  </si>
  <si>
    <t xml:space="preserve">Calculate the margin for the 95% CI using the formula =T.INV.2T(0.05,(COUNT(cell range)-1))*SE</t>
  </si>
  <si>
    <t xml:space="preserve">Calculate the Upper Bound of the 95%CI (mean + t*SE)</t>
  </si>
  <si>
    <t xml:space="preserve">Upper 95% CI Bound</t>
  </si>
  <si>
    <t xml:space="preserve">Calculate the Lower Bound of the 95% CI (Mean – t*SE)</t>
  </si>
  <si>
    <t xml:space="preserve">Lower 95% CI Bound</t>
  </si>
  <si>
    <t xml:space="preserve">Species Richness (species per 0.04 ha)</t>
  </si>
  <si>
    <t xml:space="preserve">Shrubs</t>
  </si>
  <si>
    <t xml:space="preserve">Trees</t>
  </si>
  <si>
    <t xml:space="preserve">Shrub Species</t>
  </si>
  <si>
    <t xml:space="preserve">Cover (%)</t>
  </si>
  <si>
    <t xml:space="preserve">Garrett Yeoman</t>
  </si>
  <si>
    <t xml:space="preserve">Joseph Drysdale</t>
  </si>
  <si>
    <t xml:space="preserve">Banksia ericifolia subsp. macrantha</t>
  </si>
  <si>
    <t xml:space="preserve">&lt;1</t>
  </si>
  <si>
    <t xml:space="preserve">Callistemon pachyphyllus</t>
  </si>
  <si>
    <t xml:space="preserve">Leucopogon lanceolatus var. gracilis</t>
  </si>
  <si>
    <t xml:space="preserve">Leucopogon leptospermoides</t>
  </si>
  <si>
    <t xml:space="preserve">Persoonia stradbrokensis</t>
  </si>
  <si>
    <t xml:space="preserve">Unknown species 1</t>
  </si>
  <si>
    <t xml:space="preserve">Unknown species 2</t>
  </si>
  <si>
    <t xml:space="preserve">Lilli Henry </t>
  </si>
  <si>
    <t xml:space="preserve">Aotus ericoides</t>
  </si>
  <si>
    <t xml:space="preserve">Melaleuca quinquenervia</t>
  </si>
  <si>
    <t xml:space="preserve">Pultenaea sp.</t>
  </si>
  <si>
    <t xml:space="preserve">Matthew Holmes</t>
  </si>
  <si>
    <t xml:space="preserve">Cordyline stricta</t>
  </si>
  <si>
    <t xml:space="preserve">Leptospermum polygalifolium</t>
  </si>
  <si>
    <t xml:space="preserve">Elaeocarpus reticulatus</t>
  </si>
  <si>
    <t xml:space="preserve">Endiandra sieberi</t>
  </si>
  <si>
    <t xml:space="preserve">No shrubs species recorded</t>
  </si>
  <si>
    <t xml:space="preserve">Drypetes deplanchei</t>
  </si>
  <si>
    <t xml:space="preserve">Elaeodendron australe var. australe</t>
  </si>
  <si>
    <t xml:space="preserve">Podocarpus elatus</t>
  </si>
  <si>
    <t xml:space="preserve">Unknown A</t>
  </si>
  <si>
    <t xml:space="preserve">Embelia australiana</t>
  </si>
  <si>
    <t xml:space="preserve">Synoum glandulosum</t>
  </si>
  <si>
    <t xml:space="preserve">Xanthorrhoea fulva</t>
  </si>
  <si>
    <t xml:space="preserve">Acacia suaveolens</t>
  </si>
  <si>
    <t xml:space="preserve">Epacris microphylla</t>
  </si>
  <si>
    <t xml:space="preserve">Hakea laevipes subsp. laevipes</t>
  </si>
  <si>
    <t xml:space="preserve">Hakea teretifolia</t>
  </si>
  <si>
    <t xml:space="preserve">Isopogon anemonifolius</t>
  </si>
  <si>
    <t xml:space="preserve">Kunzea capitata</t>
  </si>
  <si>
    <t xml:space="preserve">Persoonia lanceolata</t>
  </si>
  <si>
    <t xml:space="preserve">Phyllota phylicoides</t>
  </si>
  <si>
    <t xml:space="preserve">Spyridium scortechinii</t>
  </si>
  <si>
    <t xml:space="preserve">Banksia serrata</t>
  </si>
  <si>
    <t xml:space="preserve">Casuarina glauca</t>
  </si>
  <si>
    <t xml:space="preserve">Banksia aemula</t>
  </si>
  <si>
    <t xml:space="preserve">Melaleuca thymifolia</t>
  </si>
  <si>
    <t xml:space="preserve">DBH (cm) of individual stems</t>
  </si>
  <si>
    <t xml:space="preserve">BA (m2) of individual stems</t>
  </si>
  <si>
    <t xml:space="preserve">Tree Number</t>
  </si>
  <si>
    <t xml:space="preserve">Species</t>
  </si>
  <si>
    <t xml:space="preserve">BA (m2)</t>
  </si>
  <si>
    <t xml:space="preserve">Maximum DBH (cm)</t>
  </si>
  <si>
    <t xml:space="preserve">&gt;10 cm? (1 = yes, 0 = no)</t>
  </si>
  <si>
    <t xml:space="preserve">Stem 1</t>
  </si>
  <si>
    <t xml:space="preserve">Stem 2</t>
  </si>
  <si>
    <t xml:space="preserve">Stem 3</t>
  </si>
  <si>
    <t xml:space="preserve">Stem 4</t>
  </si>
  <si>
    <t xml:space="preserve">Stem 5</t>
  </si>
  <si>
    <t xml:space="preserve">Stem 6</t>
  </si>
  <si>
    <t xml:space="preserve">Stem 7</t>
  </si>
  <si>
    <t xml:space="preserve">Allocasuarina thalassoscopica</t>
  </si>
  <si>
    <t xml:space="preserve">Isaac Redgrave </t>
  </si>
  <si>
    <t xml:space="preserve">Corymbia intermedia</t>
  </si>
  <si>
    <t xml:space="preserve">Eucalyptus pilularis</t>
  </si>
  <si>
    <t xml:space="preserve">Eucalyptus sp. </t>
  </si>
  <si>
    <t xml:space="preserve">Nematolepis squamea</t>
  </si>
  <si>
    <t xml:space="preserve">Eucalyptus microcorys</t>
  </si>
  <si>
    <t xml:space="preserve">Baloghia inophylla</t>
  </si>
  <si>
    <t xml:space="preserve">Banksia inetgrifolia subsp. integrifolia</t>
  </si>
  <si>
    <t xml:space="preserve">Cupaniopsis anacardioides</t>
  </si>
  <si>
    <t xml:space="preserve">Mischocarpus pyriformis</t>
  </si>
  <si>
    <t xml:space="preserve">Planchonella australis</t>
  </si>
  <si>
    <t xml:space="preserve">Acronychia imperforata</t>
  </si>
  <si>
    <t xml:space="preserve">Acronychia oblongifolia (?)</t>
  </si>
  <si>
    <t xml:space="preserve">Cyclophyllum sp.</t>
  </si>
  <si>
    <t xml:space="preserve">Euroschinus falcatus</t>
  </si>
  <si>
    <t xml:space="preserve">Geijera salicifolia</t>
  </si>
  <si>
    <t xml:space="preserve">Pittosporum revolutum</t>
  </si>
  <si>
    <t xml:space="preserve">Polyscias elegans</t>
  </si>
  <si>
    <t xml:space="preserve">Unknown species 3</t>
  </si>
  <si>
    <t xml:space="preserve">Arytera divaricata</t>
  </si>
  <si>
    <t xml:space="preserve">Dysoxylum fraserianum</t>
  </si>
  <si>
    <t xml:space="preserve">Acronychia laevis</t>
  </si>
  <si>
    <t xml:space="preserve">Sarcomelicope simplicifolia</t>
  </si>
  <si>
    <t xml:space="preserve">No tree species recorded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</si>
</sst>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General"/>
    <numFmt numFmtId="167" formatCode="0.0"/>
    <numFmt numFmtId="168" formatCode="dd/mm/yyyy"/>
    <numFmt numFmtId="169" formatCode="d\-mmm\-yy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0"/>
      <name val="Arial"/>
      <family val="2"/>
    </font>
    <font>
      <i val="true"/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7999"/>
        <bgColor rgb="FFE7E6E6"/>
      </patternFill>
    </fill>
    <fill>
      <patternFill patternType="solid">
        <fgColor theme="4" tint="0.7999"/>
        <bgColor rgb="FFE7E6E6"/>
      </patternFill>
    </fill>
    <fill>
      <patternFill patternType="solid">
        <fgColor theme="5" tint="0.7999"/>
        <bgColor rgb="FFFFF2CC"/>
      </patternFill>
    </fill>
    <fill>
      <patternFill patternType="solid">
        <fgColor theme="2"/>
        <bgColor rgb="FFDAE3F3"/>
      </patternFill>
    </fill>
    <fill>
      <patternFill patternType="solid">
        <fgColor theme="0" tint="-0.05"/>
        <bgColor rgb="FFE7E6E6"/>
      </patternFill>
    </fill>
    <fill>
      <patternFill patternType="solid">
        <fgColor theme="7" tint="0.7999"/>
        <bgColor rgb="FFFBE5D6"/>
      </patternFill>
    </fill>
    <fill>
      <patternFill patternType="solid">
        <fgColor rgb="FFC4FEF7"/>
        <bgColor rgb="FFE2F0D9"/>
      </patternFill>
    </fill>
    <fill>
      <patternFill patternType="solid">
        <fgColor rgb="FFC99DFF"/>
        <bgColor rgb="FF9999FF"/>
      </patternFill>
    </fill>
    <fill>
      <patternFill patternType="solid">
        <fgColor theme="5" tint="0.5999"/>
        <bgColor rgb="FFFBE5D6"/>
      </patternFill>
    </fill>
    <fill>
      <patternFill patternType="solid">
        <fgColor theme="2" tint="-0.1"/>
        <bgColor rgb="FFDAE3F3"/>
      </patternFill>
    </fill>
    <fill>
      <patternFill patternType="solid">
        <fgColor rgb="FFFFFFFF"/>
        <bgColor rgb="FFF2F2F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8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4FE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BE5D6"/>
      <rgbColor rgb="FFE7E6E6"/>
      <rgbColor rgb="FFFF99CC"/>
      <rgbColor rgb="FFC99D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00390625" defaultRowHeight="15" zeroHeight="false" outlineLevelRow="0" outlineLevelCol="0"/>
  <cols>
    <col collapsed="false" customWidth="true" hidden="false" outlineLevel="0" max="2" min="2" style="0" width="24.17"/>
    <col collapsed="false" customWidth="true" hidden="false" outlineLevel="0" max="3" min="3" style="0" width="2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3" t="s">
        <v>3</v>
      </c>
      <c r="C2" s="3" t="s">
        <v>4</v>
      </c>
    </row>
    <row r="3" customFormat="false" ht="15" hidden="false" customHeight="false" outlineLevel="0" collapsed="false">
      <c r="A3" s="2" t="n">
        <v>2</v>
      </c>
      <c r="B3" s="3" t="s">
        <v>5</v>
      </c>
      <c r="C3" s="3" t="s">
        <v>6</v>
      </c>
    </row>
    <row r="4" customFormat="false" ht="15" hidden="false" customHeight="false" outlineLevel="0" collapsed="false">
      <c r="A4" s="2" t="n">
        <v>3</v>
      </c>
      <c r="B4" s="3" t="s">
        <v>7</v>
      </c>
      <c r="C4" s="3" t="s">
        <v>8</v>
      </c>
    </row>
    <row r="5" customFormat="false" ht="15" hidden="false" customHeight="false" outlineLevel="0" collapsed="false">
      <c r="A5" s="2" t="n">
        <v>4</v>
      </c>
      <c r="B5" s="3" t="s">
        <v>9</v>
      </c>
      <c r="C5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00390625" defaultRowHeight="15" zeroHeight="false" outlineLevelRow="0" outlineLevelCol="0"/>
  <cols>
    <col collapsed="false" customWidth="true" hidden="false" outlineLevel="0" max="4" min="1" style="2" width="10.83"/>
    <col collapsed="false" customWidth="true" hidden="false" outlineLevel="0" max="8" min="5" style="2" width="14.66"/>
    <col collapsed="false" customWidth="true" hidden="false" outlineLevel="0" max="9" min="9" style="2" width="14"/>
    <col collapsed="false" customWidth="true" hidden="false" outlineLevel="0" max="10" min="10" style="2" width="10.83"/>
  </cols>
  <sheetData>
    <row r="1" customFormat="false" ht="15" hidden="false" customHeight="false" outlineLevel="0" collapsed="false">
      <c r="A1" s="4" t="s">
        <v>11</v>
      </c>
      <c r="B1" s="4" t="s">
        <v>0</v>
      </c>
      <c r="C1" s="4" t="s">
        <v>12</v>
      </c>
      <c r="D1" s="4" t="s">
        <v>13</v>
      </c>
      <c r="E1" s="5" t="s">
        <v>14</v>
      </c>
      <c r="F1" s="6" t="s">
        <v>15</v>
      </c>
      <c r="G1" s="6" t="s">
        <v>16</v>
      </c>
      <c r="H1" s="6" t="s">
        <v>17</v>
      </c>
      <c r="I1" s="7" t="s">
        <v>18</v>
      </c>
      <c r="J1" s="8" t="s">
        <v>19</v>
      </c>
    </row>
    <row r="2" customFormat="false" ht="15" hidden="false" customHeight="false" outlineLevel="0" collapsed="false">
      <c r="A2" s="2" t="s">
        <v>20</v>
      </c>
      <c r="B2" s="2" t="n">
        <v>1</v>
      </c>
      <c r="C2" s="9" t="n">
        <v>46264</v>
      </c>
      <c r="D2" s="2" t="n">
        <v>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n">
        <v>14.3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2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n">
        <v>15.32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3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25</v>
      </c>
      <c r="J4" s="2" t="n">
        <v>13.84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n">
        <v>12.32</v>
      </c>
    </row>
    <row r="6" customFormat="false" ht="15" hidden="false" customHeight="false" outlineLevel="0" collapsed="false">
      <c r="C6" s="9"/>
      <c r="J6" s="10" t="n">
        <f aca="false">AVERAGE(J2:J5)</f>
        <v>13.945</v>
      </c>
      <c r="K6" s="8" t="s">
        <v>40</v>
      </c>
      <c r="L6" s="1" t="s">
        <v>41</v>
      </c>
    </row>
    <row r="7" customFormat="false" ht="15" hidden="false" customHeight="false" outlineLevel="0" collapsed="false">
      <c r="C7" s="9"/>
      <c r="J7" s="10" t="n">
        <f aca="false">STDEV(J2:J5)/SQRT(COUNT(J2:J5))</f>
        <v>0.623718686588754</v>
      </c>
      <c r="K7" s="11" t="s">
        <v>42</v>
      </c>
      <c r="L7" s="1" t="s">
        <v>43</v>
      </c>
    </row>
    <row r="8" customFormat="false" ht="15" hidden="false" customHeight="false" outlineLevel="0" collapsed="false">
      <c r="C8" s="9"/>
      <c r="J8" s="10" t="n">
        <f aca="false">_xlfn.T.INV.2T(0.05,(COUNT(J2:J5)-1))*J7</f>
        <v>1.98495122967079</v>
      </c>
      <c r="K8" s="8" t="s">
        <v>44</v>
      </c>
      <c r="L8" s="1" t="s">
        <v>45</v>
      </c>
    </row>
    <row r="9" customFormat="false" ht="15" hidden="false" customHeight="false" outlineLevel="0" collapsed="false">
      <c r="C9" s="9"/>
    </row>
    <row r="10" customFormat="false" ht="15" hidden="false" customHeight="false" outlineLevel="0" collapsed="false">
      <c r="A10" s="2" t="s">
        <v>20</v>
      </c>
      <c r="B10" s="2" t="n">
        <v>2</v>
      </c>
      <c r="C10" s="9" t="n">
        <v>46264</v>
      </c>
      <c r="D10" s="2" t="n">
        <v>1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25</v>
      </c>
      <c r="J10" s="2" t="n">
        <v>24.08</v>
      </c>
    </row>
    <row r="11" customFormat="false" ht="15" hidden="false" customHeight="false" outlineLevel="0" collapsed="false">
      <c r="A11" s="2" t="s">
        <v>20</v>
      </c>
      <c r="B11" s="2" t="n">
        <v>2</v>
      </c>
      <c r="C11" s="9" t="n">
        <v>46264</v>
      </c>
      <c r="D11" s="2" t="n">
        <v>2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n">
        <v>34.9</v>
      </c>
    </row>
    <row r="12" customFormat="false" ht="15" hidden="false" customHeight="false" outlineLevel="0" collapsed="false">
      <c r="A12" s="2" t="s">
        <v>20</v>
      </c>
      <c r="B12" s="2" t="n">
        <v>2</v>
      </c>
      <c r="C12" s="9" t="n">
        <v>46264</v>
      </c>
      <c r="D12" s="2" t="n">
        <v>3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25</v>
      </c>
      <c r="J12" s="2" t="n">
        <v>23.4</v>
      </c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4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  <c r="J13" s="2" t="n">
        <v>20.08</v>
      </c>
    </row>
    <row r="14" customFormat="false" ht="15" hidden="false" customHeight="false" outlineLevel="0" collapsed="false">
      <c r="C14" s="9"/>
      <c r="J14" s="10" t="n">
        <f aca="false">AVERAGE(J10:J13)</f>
        <v>25.615</v>
      </c>
      <c r="K14" s="8" t="s">
        <v>40</v>
      </c>
      <c r="L14" s="1" t="s">
        <v>41</v>
      </c>
    </row>
    <row r="15" customFormat="false" ht="15" hidden="false" customHeight="false" outlineLevel="0" collapsed="false">
      <c r="C15" s="9"/>
      <c r="J15" s="10" t="n">
        <f aca="false">STDEV(J10:J13)/SQRT(COUNT(J10:J13))</f>
        <v>3.21597445056186</v>
      </c>
      <c r="K15" s="11" t="s">
        <v>42</v>
      </c>
      <c r="L15" s="1" t="s">
        <v>43</v>
      </c>
    </row>
    <row r="16" customFormat="false" ht="15" hidden="false" customHeight="false" outlineLevel="0" collapsed="false">
      <c r="C16" s="9"/>
      <c r="J16" s="10" t="n">
        <f aca="false">_xlfn.T.INV.2T(0.05,(COUNT(J10:J13)-1))*J15</f>
        <v>10.2346660080774</v>
      </c>
      <c r="K16" s="8" t="s">
        <v>44</v>
      </c>
      <c r="L16" s="1" t="s">
        <v>45</v>
      </c>
    </row>
    <row r="17" customFormat="false" ht="15" hidden="false" customHeight="false" outlineLevel="0" collapsed="false">
      <c r="C17" s="9"/>
    </row>
    <row r="18" customFormat="false" ht="15" hidden="false" customHeight="false" outlineLevel="0" collapsed="false">
      <c r="A18" s="2" t="s">
        <v>20</v>
      </c>
      <c r="B18" s="2" t="n">
        <v>3</v>
      </c>
      <c r="C18" s="9" t="n">
        <v>46265</v>
      </c>
      <c r="D18" s="2" t="n">
        <v>1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n">
        <v>8.1</v>
      </c>
    </row>
    <row r="19" customFormat="false" ht="15" hidden="false" customHeight="false" outlineLevel="0" collapsed="false">
      <c r="A19" s="2" t="s">
        <v>20</v>
      </c>
      <c r="B19" s="2" t="n">
        <v>3</v>
      </c>
      <c r="C19" s="9" t="n">
        <v>46265</v>
      </c>
      <c r="D19" s="2" t="n">
        <v>2</v>
      </c>
      <c r="E19" s="2" t="s">
        <v>26</v>
      </c>
      <c r="F19" s="2" t="s">
        <v>27</v>
      </c>
      <c r="G19" s="2" t="s">
        <v>28</v>
      </c>
      <c r="H19" s="2" t="s">
        <v>29</v>
      </c>
      <c r="I19" s="2" t="s">
        <v>30</v>
      </c>
    </row>
    <row r="20" customFormat="false" ht="15" hidden="false" customHeight="false" outlineLevel="0" collapsed="false">
      <c r="A20" s="2" t="s">
        <v>20</v>
      </c>
      <c r="B20" s="2" t="n">
        <v>3</v>
      </c>
      <c r="C20" s="9" t="n">
        <v>46265</v>
      </c>
      <c r="D20" s="2" t="n">
        <v>3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25</v>
      </c>
      <c r="J20" s="2" t="n">
        <v>6.12</v>
      </c>
    </row>
    <row r="21" customFormat="false" ht="15" hidden="false" customHeight="false" outlineLevel="0" collapsed="false">
      <c r="A21" s="2" t="s">
        <v>20</v>
      </c>
      <c r="B21" s="2" t="n">
        <v>3</v>
      </c>
      <c r="C21" s="9" t="n">
        <v>46265</v>
      </c>
      <c r="D21" s="2" t="n">
        <v>4</v>
      </c>
      <c r="E21" s="2" t="s">
        <v>35</v>
      </c>
      <c r="F21" s="2" t="s">
        <v>36</v>
      </c>
      <c r="G21" s="2" t="s">
        <v>37</v>
      </c>
      <c r="H21" s="2" t="s">
        <v>38</v>
      </c>
      <c r="I21" s="2" t="s">
        <v>39</v>
      </c>
      <c r="J21" s="2" t="n">
        <v>7.92</v>
      </c>
    </row>
    <row r="22" customFormat="false" ht="15" hidden="false" customHeight="false" outlineLevel="0" collapsed="false">
      <c r="C22" s="9"/>
      <c r="J22" s="10" t="n">
        <f aca="false">AVERAGE(J18:J21)</f>
        <v>7.38</v>
      </c>
      <c r="K22" s="8" t="s">
        <v>40</v>
      </c>
      <c r="L22" s="1" t="s">
        <v>41</v>
      </c>
    </row>
    <row r="23" customFormat="false" ht="15" hidden="false" customHeight="false" outlineLevel="0" collapsed="false">
      <c r="C23" s="9"/>
      <c r="J23" s="10" t="n">
        <f aca="false">STDEV(J18:J21)/SQRT(COUNT(J18:J21))</f>
        <v>0.632139225171164</v>
      </c>
      <c r="K23" s="11" t="s">
        <v>42</v>
      </c>
      <c r="L23" s="1" t="s">
        <v>43</v>
      </c>
    </row>
    <row r="24" customFormat="false" ht="15" hidden="false" customHeight="false" outlineLevel="0" collapsed="false">
      <c r="C24" s="9"/>
      <c r="J24" s="10" t="n">
        <f aca="false">_xlfn.T.INV.2T(0.05,(COUNT(J18:J21)-1))*J23</f>
        <v>2.71987556276442</v>
      </c>
      <c r="K24" s="8" t="s">
        <v>44</v>
      </c>
      <c r="L24" s="1" t="s">
        <v>45</v>
      </c>
    </row>
    <row r="25" customFormat="false" ht="15" hidden="false" customHeight="false" outlineLevel="0" collapsed="false">
      <c r="C25" s="9"/>
    </row>
    <row r="26" customFormat="false" ht="15" hidden="false" customHeight="false" outlineLevel="0" collapsed="false">
      <c r="A26" s="2" t="s">
        <v>20</v>
      </c>
      <c r="B26" s="2" t="n">
        <v>4</v>
      </c>
      <c r="C26" s="9" t="n">
        <v>46265</v>
      </c>
      <c r="D26" s="2" t="n">
        <v>1</v>
      </c>
      <c r="E26" s="2" t="s">
        <v>21</v>
      </c>
      <c r="F26" s="2" t="s">
        <v>22</v>
      </c>
      <c r="G26" s="2" t="s">
        <v>23</v>
      </c>
      <c r="H26" s="2" t="s">
        <v>24</v>
      </c>
      <c r="I26" s="2" t="s">
        <v>25</v>
      </c>
      <c r="J26" s="2" t="n">
        <v>3.15</v>
      </c>
    </row>
    <row r="27" customFormat="false" ht="15" hidden="false" customHeight="false" outlineLevel="0" collapsed="false">
      <c r="A27" s="2" t="s">
        <v>20</v>
      </c>
      <c r="B27" s="2" t="n">
        <v>4</v>
      </c>
      <c r="C27" s="9" t="n">
        <v>46265</v>
      </c>
      <c r="D27" s="2" t="n">
        <v>2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n">
        <v>1.2</v>
      </c>
    </row>
    <row r="28" customFormat="false" ht="15" hidden="false" customHeight="false" outlineLevel="0" collapsed="false">
      <c r="A28" s="2" t="s">
        <v>20</v>
      </c>
      <c r="B28" s="2" t="n">
        <v>4</v>
      </c>
      <c r="C28" s="9" t="n">
        <v>46265</v>
      </c>
      <c r="D28" s="2" t="n">
        <v>3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25</v>
      </c>
      <c r="J28" s="2" t="n">
        <v>1.102</v>
      </c>
    </row>
    <row r="29" customFormat="false" ht="15" hidden="false" customHeight="false" outlineLevel="0" collapsed="false">
      <c r="A29" s="2" t="s">
        <v>20</v>
      </c>
      <c r="B29" s="2" t="n">
        <v>4</v>
      </c>
      <c r="C29" s="9" t="n">
        <v>46265</v>
      </c>
      <c r="D29" s="2" t="n">
        <v>4</v>
      </c>
      <c r="E29" s="2" t="s">
        <v>35</v>
      </c>
      <c r="F29" s="2" t="s">
        <v>36</v>
      </c>
      <c r="G29" s="2" t="s">
        <v>37</v>
      </c>
      <c r="H29" s="2" t="s">
        <v>38</v>
      </c>
      <c r="I29" s="2" t="s">
        <v>39</v>
      </c>
      <c r="J29" s="2" t="n">
        <v>1.94</v>
      </c>
    </row>
    <row r="30" customFormat="false" ht="15" hidden="false" customHeight="false" outlineLevel="0" collapsed="false">
      <c r="J30" s="10" t="n">
        <f aca="false">AVERAGE(J26:J29)</f>
        <v>1.848</v>
      </c>
      <c r="K30" s="8" t="s">
        <v>40</v>
      </c>
      <c r="L30" s="1" t="s">
        <v>41</v>
      </c>
    </row>
    <row r="31" customFormat="false" ht="15" hidden="false" customHeight="false" outlineLevel="0" collapsed="false">
      <c r="J31" s="10" t="n">
        <f aca="false">STDEV(J26:J29)/SQRT(COUNT(J26:J29))</f>
        <v>0.472589321363345</v>
      </c>
      <c r="K31" s="11" t="s">
        <v>42</v>
      </c>
      <c r="L31" s="1" t="s">
        <v>43</v>
      </c>
    </row>
    <row r="32" customFormat="false" ht="15" hidden="false" customHeight="false" outlineLevel="0" collapsed="false">
      <c r="J32" s="10" t="n">
        <f aca="false">_xlfn.T.INV.2T(0.05,(COUNT(J26:J29)-1))*J31</f>
        <v>1.50399013968931</v>
      </c>
      <c r="K32" s="8" t="s">
        <v>44</v>
      </c>
      <c r="L32" s="1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11.00390625" defaultRowHeight="15" zeroHeight="false" outlineLevelRow="0" outlineLevelCol="0"/>
  <cols>
    <col collapsed="false" customWidth="true" hidden="false" outlineLevel="0" max="9" min="5" style="0" width="15"/>
  </cols>
  <sheetData>
    <row r="1" customFormat="false" ht="15" hidden="false" customHeight="false" outlineLevel="0" collapsed="false">
      <c r="J1" s="12" t="s">
        <v>46</v>
      </c>
      <c r="K1" s="12"/>
      <c r="L1" s="12" t="s">
        <v>47</v>
      </c>
      <c r="M1" s="8" t="s">
        <v>48</v>
      </c>
      <c r="N1" s="8"/>
    </row>
    <row r="2" customFormat="false" ht="31.5" hidden="false" customHeight="true" outlineLevel="0" collapsed="false">
      <c r="A2" s="4" t="s">
        <v>11</v>
      </c>
      <c r="B2" s="4" t="s">
        <v>0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13" t="s">
        <v>49</v>
      </c>
      <c r="K2" s="13" t="s">
        <v>50</v>
      </c>
      <c r="L2" s="12" t="s">
        <v>51</v>
      </c>
      <c r="M2" s="14" t="s">
        <v>49</v>
      </c>
      <c r="N2" s="14" t="s">
        <v>50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15" t="n">
        <v>0</v>
      </c>
      <c r="K3" s="15" t="n">
        <v>22</v>
      </c>
      <c r="L3" s="15" t="n">
        <v>0.04</v>
      </c>
      <c r="M3" s="2" t="n">
        <f aca="false">J3/L3</f>
        <v>0</v>
      </c>
      <c r="N3" s="2" t="n">
        <f aca="false">K3/L3</f>
        <v>550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15" t="n">
        <v>26</v>
      </c>
      <c r="K4" s="15" t="n">
        <v>11</v>
      </c>
      <c r="L4" s="15" t="n">
        <v>0.04</v>
      </c>
      <c r="M4" s="2" t="n">
        <f aca="false">J4/L4</f>
        <v>650</v>
      </c>
      <c r="N4" s="2" t="n">
        <f aca="false">K4/L4</f>
        <v>275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3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25</v>
      </c>
      <c r="J5" s="15" t="n">
        <v>1</v>
      </c>
      <c r="K5" s="15" t="n">
        <v>25</v>
      </c>
      <c r="L5" s="15" t="n">
        <v>0.04</v>
      </c>
      <c r="M5" s="2" t="n">
        <f aca="false">J5/L5</f>
        <v>25</v>
      </c>
      <c r="N5" s="2" t="n">
        <f aca="false">K5/L5</f>
        <v>625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15" t="n">
        <v>2</v>
      </c>
      <c r="K6" s="15" t="n">
        <v>26</v>
      </c>
      <c r="L6" s="15" t="n">
        <v>0.04</v>
      </c>
      <c r="M6" s="2" t="n">
        <f aca="false">J6/L6</f>
        <v>50</v>
      </c>
      <c r="N6" s="2" t="n">
        <f aca="false">K6/L6</f>
        <v>650</v>
      </c>
    </row>
    <row r="7" customFormat="false" ht="15" hidden="false" customHeight="false" outlineLevel="0" collapsed="false">
      <c r="A7" s="2"/>
      <c r="B7" s="2"/>
      <c r="C7" s="9"/>
      <c r="D7" s="2"/>
      <c r="E7" s="2"/>
      <c r="F7" s="2"/>
      <c r="G7" s="2"/>
      <c r="H7" s="2"/>
      <c r="I7" s="2"/>
      <c r="J7" s="2"/>
      <c r="K7" s="2"/>
      <c r="L7" s="2"/>
      <c r="M7" s="10" t="n">
        <f aca="false">AVERAGE(M3:M6)</f>
        <v>181.25</v>
      </c>
      <c r="N7" s="10" t="n">
        <f aca="false">AVERAGE(N3:N6)</f>
        <v>525</v>
      </c>
      <c r="O7" s="8" t="s">
        <v>40</v>
      </c>
      <c r="P7" s="1" t="s">
        <v>41</v>
      </c>
    </row>
    <row r="8" customFormat="false" ht="15" hidden="false" customHeight="false" outlineLevel="0" collapsed="false">
      <c r="A8" s="2"/>
      <c r="B8" s="2"/>
      <c r="C8" s="9"/>
      <c r="D8" s="2"/>
      <c r="E8" s="2"/>
      <c r="F8" s="2"/>
      <c r="G8" s="2"/>
      <c r="H8" s="2"/>
      <c r="I8" s="2"/>
      <c r="J8" s="2"/>
      <c r="K8" s="2"/>
      <c r="L8" s="2"/>
      <c r="M8" s="10" t="n">
        <f aca="false">STDEV(M3:M6)/SQRT(COUNT(M3:M6))</f>
        <v>156.58297853428</v>
      </c>
      <c r="N8" s="10" t="n">
        <f aca="false">STDEV(N3:N6)/SQRT(COUNT(N3:N6))</f>
        <v>85.9990310022929</v>
      </c>
      <c r="O8" s="11" t="s">
        <v>42</v>
      </c>
      <c r="P8" s="1" t="s">
        <v>43</v>
      </c>
    </row>
    <row r="9" customFormat="false" ht="15" hidden="false" customHeight="false" outlineLevel="0" collapsed="false">
      <c r="A9" s="2"/>
      <c r="B9" s="2"/>
      <c r="C9" s="9"/>
      <c r="D9" s="2"/>
      <c r="E9" s="2"/>
      <c r="F9" s="2"/>
      <c r="G9" s="2"/>
      <c r="H9" s="2"/>
      <c r="I9" s="2"/>
      <c r="J9" s="2"/>
      <c r="K9" s="2"/>
      <c r="L9" s="2"/>
      <c r="M9" s="10" t="n">
        <f aca="false">_xlfn.T.INV.2T(0.05,(COUNT(M3:M6)-1))*M8</f>
        <v>498.316921506737</v>
      </c>
      <c r="N9" s="10" t="n">
        <f aca="false">_xlfn.T.INV.2T(0.05,(COUNT(N3:N6)-1))*N8</f>
        <v>273.687298471226</v>
      </c>
      <c r="O9" s="8" t="s">
        <v>44</v>
      </c>
      <c r="P9" s="1" t="s">
        <v>45</v>
      </c>
    </row>
    <row r="10" customFormat="false" ht="15" hidden="false" customHeight="false" outlineLevel="0" collapsed="false">
      <c r="A10" s="2"/>
      <c r="B10" s="2"/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 t="s">
        <v>20</v>
      </c>
      <c r="B11" s="2" t="n">
        <v>2</v>
      </c>
      <c r="C11" s="9" t="n">
        <v>46264</v>
      </c>
      <c r="D11" s="2" t="n">
        <v>1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15" t="n">
        <v>23</v>
      </c>
      <c r="K11" s="15" t="n">
        <v>14</v>
      </c>
      <c r="L11" s="15" t="n">
        <v>0.04</v>
      </c>
      <c r="M11" s="2" t="n">
        <f aca="false">J11/L11</f>
        <v>575</v>
      </c>
      <c r="N11" s="2" t="n">
        <f aca="false">K11/L11</f>
        <v>350</v>
      </c>
    </row>
    <row r="12" customFormat="false" ht="15" hidden="false" customHeight="false" outlineLevel="0" collapsed="false">
      <c r="A12" s="2" t="s">
        <v>20</v>
      </c>
      <c r="B12" s="2" t="n">
        <v>2</v>
      </c>
      <c r="C12" s="9" t="n">
        <v>46264</v>
      </c>
      <c r="D12" s="2" t="n">
        <v>2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15" t="n">
        <v>40</v>
      </c>
      <c r="K12" s="15" t="n">
        <v>10</v>
      </c>
      <c r="L12" s="15" t="n">
        <v>0.04</v>
      </c>
      <c r="M12" s="2" t="n">
        <f aca="false">J12/L12</f>
        <v>1000</v>
      </c>
      <c r="N12" s="2" t="n">
        <f aca="false">K12/L12</f>
        <v>250</v>
      </c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3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25</v>
      </c>
      <c r="J13" s="15" t="n">
        <v>39</v>
      </c>
      <c r="K13" s="15" t="n">
        <v>24</v>
      </c>
      <c r="L13" s="15" t="n">
        <v>0.04</v>
      </c>
      <c r="M13" s="2" t="n">
        <f aca="false">J13/L13</f>
        <v>975</v>
      </c>
      <c r="N13" s="2" t="n">
        <f aca="false">K13/L13</f>
        <v>600</v>
      </c>
    </row>
    <row r="14" customFormat="false" ht="15" hidden="false" customHeight="false" outlineLevel="0" collapsed="false">
      <c r="A14" s="2" t="s">
        <v>20</v>
      </c>
      <c r="B14" s="2" t="n">
        <v>2</v>
      </c>
      <c r="C14" s="9" t="n">
        <v>46264</v>
      </c>
      <c r="D14" s="2" t="n">
        <v>4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15" t="n">
        <v>48</v>
      </c>
      <c r="K14" s="15" t="n">
        <v>14</v>
      </c>
      <c r="L14" s="15" t="n">
        <v>0.04</v>
      </c>
      <c r="M14" s="2" t="n">
        <f aca="false">J14/L14</f>
        <v>1200</v>
      </c>
      <c r="N14" s="2" t="n">
        <f aca="false">K14/L14</f>
        <v>350</v>
      </c>
    </row>
    <row r="15" customFormat="false" ht="15" hidden="false" customHeight="false" outlineLevel="0" collapsed="false">
      <c r="A15" s="2"/>
      <c r="B15" s="2"/>
      <c r="C15" s="9"/>
      <c r="D15" s="2"/>
      <c r="E15" s="2"/>
      <c r="F15" s="2"/>
      <c r="G15" s="2"/>
      <c r="H15" s="2"/>
      <c r="I15" s="2"/>
      <c r="J15" s="2"/>
      <c r="K15" s="2"/>
      <c r="L15" s="2"/>
      <c r="M15" s="10" t="n">
        <f aca="false">AVERAGE(M11:M14)</f>
        <v>937.5</v>
      </c>
      <c r="N15" s="10" t="n">
        <f aca="false">AVERAGE(N11:N14)</f>
        <v>387.5</v>
      </c>
      <c r="O15" s="8" t="s">
        <v>40</v>
      </c>
      <c r="P15" s="1" t="s">
        <v>41</v>
      </c>
    </row>
    <row r="16" customFormat="false" ht="15" hidden="false" customHeight="false" outlineLevel="0" collapsed="false">
      <c r="A16" s="2"/>
      <c r="B16" s="2"/>
      <c r="C16" s="9"/>
      <c r="D16" s="2"/>
      <c r="E16" s="2"/>
      <c r="F16" s="2"/>
      <c r="G16" s="2"/>
      <c r="H16" s="2"/>
      <c r="I16" s="2"/>
      <c r="J16" s="2"/>
      <c r="K16" s="2"/>
      <c r="L16" s="2"/>
      <c r="M16" s="10" t="n">
        <f aca="false">STDEV(M11:M14)/SQRT(COUNT(M11:M14))</f>
        <v>130.902317270042</v>
      </c>
      <c r="N16" s="10" t="n">
        <f aca="false">STDEV(N11:N14)/SQRT(COUNT(N11:N14))</f>
        <v>74.6519702798705</v>
      </c>
      <c r="O16" s="11" t="s">
        <v>42</v>
      </c>
      <c r="P16" s="1" t="s">
        <v>43</v>
      </c>
    </row>
    <row r="17" customFormat="false" ht="15" hidden="false" customHeight="false" outlineLevel="0" collapsed="false">
      <c r="A17" s="2"/>
      <c r="B17" s="2"/>
      <c r="C17" s="9"/>
      <c r="D17" s="2"/>
      <c r="E17" s="2"/>
      <c r="F17" s="2"/>
      <c r="G17" s="2"/>
      <c r="H17" s="2"/>
      <c r="I17" s="2"/>
      <c r="J17" s="2"/>
      <c r="K17" s="2"/>
      <c r="L17" s="2"/>
      <c r="M17" s="10" t="n">
        <f aca="false">_xlfn.T.INV.2T(0.05,(COUNT(M11:M14)-1))*M16</f>
        <v>416.589595949121</v>
      </c>
      <c r="N17" s="10" t="n">
        <f aca="false">_xlfn.T.INV.2T(0.05,(COUNT(N11:N14)-1))*N16</f>
        <v>237.575886999323</v>
      </c>
      <c r="O17" s="8" t="s">
        <v>44</v>
      </c>
      <c r="P17" s="1" t="s">
        <v>45</v>
      </c>
    </row>
    <row r="18" customFormat="false" ht="15" hidden="false" customHeight="false" outlineLevel="0" collapsed="false">
      <c r="A18" s="2"/>
      <c r="B18" s="2"/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 t="s">
        <v>20</v>
      </c>
      <c r="B19" s="2" t="n">
        <v>3</v>
      </c>
      <c r="C19" s="9" t="n">
        <v>46265</v>
      </c>
      <c r="D19" s="2" t="n">
        <v>1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15" t="n">
        <v>46</v>
      </c>
      <c r="K19" s="15" t="n">
        <v>26</v>
      </c>
      <c r="L19" s="15" t="n">
        <v>0.04</v>
      </c>
      <c r="M19" s="2" t="n">
        <f aca="false">J19/L19</f>
        <v>1150</v>
      </c>
      <c r="N19" s="2" t="n">
        <f aca="false">K19/L19</f>
        <v>650</v>
      </c>
    </row>
    <row r="20" customFormat="false" ht="15" hidden="false" customHeight="false" outlineLevel="0" collapsed="false">
      <c r="A20" s="2" t="s">
        <v>20</v>
      </c>
      <c r="B20" s="2" t="n">
        <v>3</v>
      </c>
      <c r="C20" s="9" t="n">
        <v>46265</v>
      </c>
      <c r="D20" s="2" t="n">
        <v>2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15" t="n">
        <v>103</v>
      </c>
      <c r="K20" s="15" t="n">
        <v>42</v>
      </c>
      <c r="L20" s="15" t="n">
        <v>0.04</v>
      </c>
      <c r="M20" s="2" t="n">
        <f aca="false">J20/L20</f>
        <v>2575</v>
      </c>
      <c r="N20" s="2" t="n">
        <f aca="false">K20/L20</f>
        <v>1050</v>
      </c>
    </row>
    <row r="21" customFormat="false" ht="15" hidden="false" customHeight="false" outlineLevel="0" collapsed="false">
      <c r="A21" s="2" t="s">
        <v>20</v>
      </c>
      <c r="B21" s="2" t="n">
        <v>3</v>
      </c>
      <c r="C21" s="9" t="n">
        <v>46265</v>
      </c>
      <c r="D21" s="2" t="n">
        <v>3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25</v>
      </c>
      <c r="J21" s="15" t="n">
        <v>32</v>
      </c>
      <c r="K21" s="15" t="n">
        <v>26</v>
      </c>
      <c r="L21" s="15" t="n">
        <v>0.04</v>
      </c>
      <c r="M21" s="2" t="n">
        <f aca="false">J21/L21</f>
        <v>800</v>
      </c>
      <c r="N21" s="2" t="n">
        <f aca="false">K21/L21</f>
        <v>650</v>
      </c>
    </row>
    <row r="22" customFormat="false" ht="15" hidden="false" customHeight="false" outlineLevel="0" collapsed="false">
      <c r="A22" s="2" t="s">
        <v>20</v>
      </c>
      <c r="B22" s="2" t="n">
        <v>3</v>
      </c>
      <c r="C22" s="9" t="n">
        <v>46265</v>
      </c>
      <c r="D22" s="2" t="n">
        <v>4</v>
      </c>
      <c r="E22" s="2" t="s">
        <v>35</v>
      </c>
      <c r="F22" s="2" t="s">
        <v>36</v>
      </c>
      <c r="G22" s="2" t="s">
        <v>37</v>
      </c>
      <c r="H22" s="2" t="s">
        <v>38</v>
      </c>
      <c r="I22" s="2" t="s">
        <v>39</v>
      </c>
      <c r="J22" s="15" t="n">
        <v>64</v>
      </c>
      <c r="K22" s="15" t="n">
        <v>35</v>
      </c>
      <c r="L22" s="15" t="n">
        <v>0.04</v>
      </c>
      <c r="M22" s="2" t="n">
        <f aca="false">J22/L22</f>
        <v>1600</v>
      </c>
      <c r="N22" s="2" t="n">
        <f aca="false">K22/L22</f>
        <v>875</v>
      </c>
    </row>
    <row r="23" customFormat="false" ht="15" hidden="false" customHeight="false" outlineLevel="0" collapsed="false">
      <c r="A23" s="2"/>
      <c r="B23" s="2"/>
      <c r="C23" s="9"/>
      <c r="D23" s="2"/>
      <c r="E23" s="2"/>
      <c r="F23" s="2"/>
      <c r="G23" s="2"/>
      <c r="H23" s="2"/>
      <c r="I23" s="2"/>
      <c r="J23" s="2"/>
      <c r="K23" s="2"/>
      <c r="L23" s="2"/>
      <c r="M23" s="10" t="n">
        <f aca="false">AVERAGE(M19:M22)</f>
        <v>1531.25</v>
      </c>
      <c r="N23" s="10" t="n">
        <f aca="false">AVERAGE(N19:N22)</f>
        <v>806.25</v>
      </c>
      <c r="O23" s="8" t="s">
        <v>40</v>
      </c>
      <c r="P23" s="1" t="s">
        <v>41</v>
      </c>
    </row>
    <row r="24" customFormat="false" ht="15" hidden="false" customHeight="false" outlineLevel="0" collapsed="false">
      <c r="A24" s="2"/>
      <c r="B24" s="2"/>
      <c r="C24" s="9"/>
      <c r="D24" s="2"/>
      <c r="E24" s="2"/>
      <c r="F24" s="2"/>
      <c r="G24" s="2"/>
      <c r="H24" s="2"/>
      <c r="I24" s="2"/>
      <c r="J24" s="2"/>
      <c r="K24" s="2"/>
      <c r="L24" s="2"/>
      <c r="M24" s="10" t="n">
        <f aca="false">STDEV(M19:M22)/SQRT(COUNT(M19:M22))</f>
        <v>384.514710381801</v>
      </c>
      <c r="N24" s="10" t="n">
        <f aca="false">STDEV(N19:N22)/SQRT(COUNT(N19:N22))</f>
        <v>97.0260918516252</v>
      </c>
      <c r="O24" s="11" t="s">
        <v>42</v>
      </c>
      <c r="P24" s="1" t="s">
        <v>43</v>
      </c>
    </row>
    <row r="25" customFormat="false" ht="15" hidden="false" customHeight="false" outlineLevel="0" collapsed="false">
      <c r="A25" s="2"/>
      <c r="B25" s="2"/>
      <c r="C25" s="9"/>
      <c r="D25" s="2"/>
      <c r="E25" s="2"/>
      <c r="F25" s="2"/>
      <c r="G25" s="2"/>
      <c r="H25" s="2"/>
      <c r="I25" s="2"/>
      <c r="J25" s="2"/>
      <c r="K25" s="2"/>
      <c r="L25" s="2"/>
      <c r="M25" s="10" t="n">
        <f aca="false">_xlfn.T.INV.2T(0.05,(COUNT(M19:M22)-1))*M24</f>
        <v>1223.6974193818</v>
      </c>
      <c r="N25" s="10" t="n">
        <f aca="false">_xlfn.T.INV.2T(0.05,(COUNT(N19:N22)-1))*N24</f>
        <v>308.780327529323</v>
      </c>
      <c r="O25" s="8" t="s">
        <v>44</v>
      </c>
      <c r="P25" s="1" t="s">
        <v>45</v>
      </c>
    </row>
    <row r="26" customFormat="false" ht="15" hidden="false" customHeight="false" outlineLevel="0" collapsed="false">
      <c r="A26" s="2"/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 t="s">
        <v>20</v>
      </c>
      <c r="B27" s="2" t="n">
        <v>4</v>
      </c>
      <c r="C27" s="9" t="n">
        <v>46265</v>
      </c>
      <c r="D27" s="2" t="n">
        <v>1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15" t="n">
        <v>32</v>
      </c>
      <c r="K27" s="15" t="n">
        <v>0</v>
      </c>
      <c r="L27" s="15" t="n">
        <v>0.04</v>
      </c>
      <c r="M27" s="2" t="n">
        <f aca="false">J27/L27</f>
        <v>800</v>
      </c>
      <c r="N27" s="2" t="n">
        <f aca="false">K27/L27</f>
        <v>0</v>
      </c>
    </row>
    <row r="28" customFormat="false" ht="15" hidden="false" customHeight="false" outlineLevel="0" collapsed="false">
      <c r="A28" s="2" t="s">
        <v>20</v>
      </c>
      <c r="B28" s="2" t="n">
        <v>4</v>
      </c>
      <c r="C28" s="9" t="n">
        <v>46265</v>
      </c>
      <c r="D28" s="2" t="n">
        <v>2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15" t="n">
        <v>2</v>
      </c>
      <c r="K28" s="15" t="n">
        <v>0</v>
      </c>
      <c r="L28" s="15" t="n">
        <v>0.04</v>
      </c>
      <c r="M28" s="2" t="n">
        <f aca="false">J28/L28</f>
        <v>50</v>
      </c>
      <c r="N28" s="2" t="n">
        <f aca="false">K28/L28</f>
        <v>0</v>
      </c>
    </row>
    <row r="29" customFormat="false" ht="15" hidden="false" customHeight="false" outlineLevel="0" collapsed="false">
      <c r="A29" s="2" t="s">
        <v>20</v>
      </c>
      <c r="B29" s="2" t="n">
        <v>4</v>
      </c>
      <c r="C29" s="9" t="n">
        <v>46265</v>
      </c>
      <c r="D29" s="2" t="n">
        <v>3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25</v>
      </c>
      <c r="J29" s="15" t="n">
        <v>1</v>
      </c>
      <c r="K29" s="15" t="n">
        <v>0</v>
      </c>
      <c r="L29" s="15" t="n">
        <v>0.04</v>
      </c>
      <c r="M29" s="2" t="n">
        <f aca="false">J29/L29</f>
        <v>25</v>
      </c>
      <c r="N29" s="2" t="n">
        <f aca="false">K29/L29</f>
        <v>0</v>
      </c>
    </row>
    <row r="30" customFormat="false" ht="15" hidden="false" customHeight="false" outlineLevel="0" collapsed="false">
      <c r="A30" s="2" t="s">
        <v>20</v>
      </c>
      <c r="B30" s="2" t="n">
        <v>4</v>
      </c>
      <c r="C30" s="9" t="n">
        <v>46265</v>
      </c>
      <c r="D30" s="2" t="n">
        <v>4</v>
      </c>
      <c r="E30" s="2" t="s">
        <v>35</v>
      </c>
      <c r="F30" s="2" t="s">
        <v>36</v>
      </c>
      <c r="G30" s="2" t="s">
        <v>37</v>
      </c>
      <c r="H30" s="2" t="s">
        <v>38</v>
      </c>
      <c r="I30" s="2" t="s">
        <v>39</v>
      </c>
      <c r="J30" s="15" t="n">
        <v>1</v>
      </c>
      <c r="K30" s="15" t="n">
        <v>0</v>
      </c>
      <c r="L30" s="15" t="n">
        <v>0.04</v>
      </c>
      <c r="M30" s="2" t="n">
        <f aca="false">J30/L30</f>
        <v>25</v>
      </c>
      <c r="N30" s="2" t="n">
        <f aca="false">K30/L30</f>
        <v>0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M31" s="10" t="n">
        <f aca="false">AVERAGE(M27:M30)</f>
        <v>225</v>
      </c>
      <c r="N31" s="10" t="n">
        <f aca="false">AVERAGE(N27:N30)</f>
        <v>0</v>
      </c>
      <c r="O31" s="8" t="s">
        <v>40</v>
      </c>
      <c r="P31" s="1" t="s">
        <v>41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M32" s="10" t="n">
        <f aca="false">STDEV(M27:M30)/SQRT(COUNT(M27:M30))</f>
        <v>191.757224983398</v>
      </c>
      <c r="N32" s="10" t="n">
        <f aca="false">STDEV(N27:N30)/SQRT(COUNT(N27:N30))</f>
        <v>0</v>
      </c>
      <c r="O32" s="11" t="s">
        <v>42</v>
      </c>
      <c r="P32" s="1" t="s">
        <v>43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M33" s="10" t="n">
        <f aca="false">_xlfn.T.INV.2T(0.05,(COUNT(M27:M30)-1))*M32</f>
        <v>610.257072159871</v>
      </c>
      <c r="N33" s="10" t="n">
        <f aca="false">_xlfn.T.INV.2T(0.05,(COUNT(N27:N30)-1))*N32</f>
        <v>0</v>
      </c>
      <c r="O33" s="8" t="s">
        <v>44</v>
      </c>
      <c r="P33" s="1" t="s">
        <v>45</v>
      </c>
    </row>
  </sheetData>
  <mergeCells count="2">
    <mergeCell ref="J1:K1"/>
    <mergeCell ref="M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1.00390625" defaultRowHeight="15" zeroHeight="false" outlineLevelRow="0" outlineLevelCol="0"/>
  <cols>
    <col collapsed="false" customWidth="true" hidden="false" outlineLevel="0" max="9" min="5" style="0" width="17.17"/>
  </cols>
  <sheetData>
    <row r="1" customFormat="false" ht="15" hidden="false" customHeight="true" outlineLevel="0" collapsed="false">
      <c r="J1" s="16" t="s">
        <v>52</v>
      </c>
      <c r="K1" s="16"/>
    </row>
    <row r="2" customFormat="false" ht="47.25" hidden="false" customHeight="true" outlineLevel="0" collapsed="false">
      <c r="A2" s="4" t="s">
        <v>11</v>
      </c>
      <c r="B2" s="4" t="s">
        <v>0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17" t="s">
        <v>53</v>
      </c>
      <c r="K2" s="17" t="s">
        <v>54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n">
        <v>26.9</v>
      </c>
      <c r="K3" s="18" t="n">
        <v>58.3982804394173</v>
      </c>
      <c r="L3" s="2"/>
      <c r="M3" s="2"/>
      <c r="N3" s="2"/>
      <c r="O3" s="2"/>
      <c r="P3" s="2"/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2</v>
      </c>
      <c r="E4" s="2" t="s">
        <v>26</v>
      </c>
      <c r="F4" s="2" t="s">
        <v>30</v>
      </c>
      <c r="G4" s="2" t="s">
        <v>28</v>
      </c>
      <c r="H4" s="2" t="s">
        <v>27</v>
      </c>
      <c r="I4" s="2" t="s">
        <v>29</v>
      </c>
      <c r="J4" s="2" t="n">
        <v>28.1</v>
      </c>
      <c r="K4" s="18" t="n">
        <v>51.2253175529247</v>
      </c>
      <c r="L4" s="2"/>
      <c r="M4" s="2"/>
      <c r="N4" s="2"/>
      <c r="O4" s="2"/>
      <c r="P4" s="2"/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3</v>
      </c>
      <c r="E5" s="2" t="s">
        <v>34</v>
      </c>
      <c r="F5" s="2" t="s">
        <v>31</v>
      </c>
      <c r="G5" s="2" t="s">
        <v>32</v>
      </c>
      <c r="H5" s="2" t="s">
        <v>33</v>
      </c>
      <c r="I5" s="2" t="s">
        <v>25</v>
      </c>
      <c r="J5" s="2" t="n">
        <v>19.3</v>
      </c>
      <c r="K5" s="18" t="n">
        <v>41.149248165158</v>
      </c>
      <c r="L5" s="2"/>
      <c r="M5" s="2"/>
      <c r="N5" s="2"/>
      <c r="O5" s="2"/>
      <c r="P5" s="2"/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n">
        <v>18.6</v>
      </c>
      <c r="K6" s="18" t="n">
        <v>50.3090327855971</v>
      </c>
      <c r="L6" s="2"/>
      <c r="M6" s="2"/>
      <c r="N6" s="2"/>
      <c r="O6" s="2"/>
      <c r="P6" s="2"/>
    </row>
    <row r="7" customFormat="false" ht="15" hidden="false" customHeight="false" outlineLevel="0" collapsed="false">
      <c r="A7" s="2"/>
      <c r="B7" s="2"/>
      <c r="C7" s="9"/>
      <c r="D7" s="2"/>
      <c r="E7" s="2"/>
      <c r="F7" s="2"/>
      <c r="G7" s="2"/>
      <c r="H7" s="2"/>
      <c r="I7" s="2"/>
      <c r="J7" s="10" t="n">
        <f aca="false">AVERAGE(J3:J6)</f>
        <v>23.225</v>
      </c>
      <c r="K7" s="10" t="n">
        <f aca="false">AVERAGE(K3:K6)</f>
        <v>50.2704697357743</v>
      </c>
      <c r="L7" s="8" t="s">
        <v>40</v>
      </c>
      <c r="M7" s="1" t="s">
        <v>41</v>
      </c>
      <c r="N7" s="2"/>
      <c r="O7" s="2"/>
      <c r="P7" s="2"/>
    </row>
    <row r="8" customFormat="false" ht="15" hidden="false" customHeight="false" outlineLevel="0" collapsed="false">
      <c r="A8" s="2"/>
      <c r="B8" s="2"/>
      <c r="C8" s="9"/>
      <c r="D8" s="2"/>
      <c r="E8" s="2"/>
      <c r="F8" s="2"/>
      <c r="G8" s="2"/>
      <c r="H8" s="2"/>
      <c r="I8" s="2"/>
      <c r="J8" s="10" t="n">
        <f aca="false">STDEV(J3:J6)/SQRT(COUNT(J3:J6))</f>
        <v>2.48440972197958</v>
      </c>
      <c r="K8" s="10" t="n">
        <f aca="false">STDEV(K3:K6)/SQRT(COUNT(K3:K6))</f>
        <v>3.53755107427509</v>
      </c>
      <c r="L8" s="11" t="s">
        <v>42</v>
      </c>
      <c r="M8" s="1" t="s">
        <v>43</v>
      </c>
      <c r="N8" s="2"/>
      <c r="O8" s="2"/>
      <c r="P8" s="2"/>
    </row>
    <row r="9" customFormat="false" ht="15" hidden="false" customHeight="false" outlineLevel="0" collapsed="false">
      <c r="A9" s="2"/>
      <c r="B9" s="2"/>
      <c r="C9" s="9"/>
      <c r="D9" s="2"/>
      <c r="E9" s="2"/>
      <c r="F9" s="2"/>
      <c r="G9" s="2"/>
      <c r="H9" s="2"/>
      <c r="I9" s="2"/>
      <c r="J9" s="10" t="n">
        <f aca="false">_xlfn.T.INV.2T(0.05,(COUNT(J3:J6)-1))*J8</f>
        <v>7.90650054052486</v>
      </c>
      <c r="K9" s="10" t="n">
        <f aca="false">_xlfn.T.INV.2T(0.05,(COUNT(K3:K6)-1))*K8</f>
        <v>11.2580663460792</v>
      </c>
      <c r="L9" s="8" t="s">
        <v>44</v>
      </c>
      <c r="M9" s="1" t="s">
        <v>45</v>
      </c>
      <c r="N9" s="2"/>
      <c r="O9" s="2"/>
      <c r="P9" s="2"/>
    </row>
    <row r="10" customFormat="false" ht="15" hidden="false" customHeight="false" outlineLevel="0" collapsed="false">
      <c r="A10" s="2"/>
      <c r="B10" s="2"/>
      <c r="C10" s="9"/>
      <c r="D10" s="2"/>
      <c r="E10" s="2"/>
      <c r="F10" s="2"/>
      <c r="G10" s="2"/>
      <c r="H10" s="2"/>
      <c r="I10" s="2"/>
      <c r="J10" s="2"/>
      <c r="K10" s="18"/>
      <c r="L10" s="2"/>
      <c r="M10" s="2"/>
      <c r="N10" s="2"/>
      <c r="O10" s="2"/>
      <c r="P10" s="2"/>
    </row>
    <row r="11" customFormat="false" ht="15" hidden="false" customHeight="false" outlineLevel="0" collapsed="false">
      <c r="A11" s="2" t="s">
        <v>20</v>
      </c>
      <c r="B11" s="2" t="n">
        <v>2</v>
      </c>
      <c r="C11" s="9" t="n">
        <v>46264</v>
      </c>
      <c r="D11" s="2" t="n">
        <v>1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n">
        <v>16.3</v>
      </c>
      <c r="K11" s="18" t="n">
        <v>76.989145840887</v>
      </c>
      <c r="L11" s="2"/>
      <c r="M11" s="2"/>
      <c r="O11" s="2"/>
      <c r="P11" s="2"/>
    </row>
    <row r="12" customFormat="false" ht="15" hidden="false" customHeight="false" outlineLevel="0" collapsed="false">
      <c r="A12" s="2" t="s">
        <v>20</v>
      </c>
      <c r="B12" s="2" t="n">
        <v>2</v>
      </c>
      <c r="C12" s="9" t="n">
        <v>46264</v>
      </c>
      <c r="D12" s="2" t="n">
        <v>2</v>
      </c>
      <c r="E12" s="2" t="s">
        <v>26</v>
      </c>
      <c r="F12" s="2" t="s">
        <v>30</v>
      </c>
      <c r="G12" s="2" t="s">
        <v>28</v>
      </c>
      <c r="H12" s="2" t="s">
        <v>27</v>
      </c>
      <c r="I12" s="2" t="s">
        <v>29</v>
      </c>
      <c r="J12" s="2" t="n">
        <v>25.7</v>
      </c>
      <c r="K12" s="18" t="n">
        <v>37.6329027779031</v>
      </c>
      <c r="L12" s="2"/>
      <c r="M12" s="2"/>
      <c r="O12" s="2"/>
      <c r="P12" s="2"/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3</v>
      </c>
      <c r="E13" s="2" t="s">
        <v>34</v>
      </c>
      <c r="F13" s="2" t="s">
        <v>31</v>
      </c>
      <c r="G13" s="2" t="s">
        <v>32</v>
      </c>
      <c r="H13" s="2" t="s">
        <v>33</v>
      </c>
      <c r="I13" s="2" t="s">
        <v>25</v>
      </c>
      <c r="J13" s="2" t="n">
        <v>17.8</v>
      </c>
      <c r="K13" s="18" t="n">
        <v>55.2365226879822</v>
      </c>
      <c r="L13" s="2"/>
      <c r="M13" s="2"/>
      <c r="O13" s="2"/>
      <c r="P13" s="2"/>
    </row>
    <row r="14" customFormat="false" ht="15" hidden="false" customHeight="false" outlineLevel="0" collapsed="false">
      <c r="A14" s="2" t="s">
        <v>20</v>
      </c>
      <c r="B14" s="2" t="n">
        <v>2</v>
      </c>
      <c r="C14" s="9" t="n">
        <v>46264</v>
      </c>
      <c r="D14" s="2" t="n">
        <v>4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2" t="n">
        <v>27.5</v>
      </c>
      <c r="K14" s="18" t="n">
        <v>33.6153948225843</v>
      </c>
      <c r="L14" s="2"/>
      <c r="M14" s="2"/>
      <c r="O14" s="2"/>
      <c r="P14" s="2"/>
    </row>
    <row r="15" customFormat="false" ht="15" hidden="false" customHeight="false" outlineLevel="0" collapsed="false">
      <c r="A15" s="2"/>
      <c r="B15" s="2"/>
      <c r="C15" s="9"/>
      <c r="D15" s="2"/>
      <c r="E15" s="2"/>
      <c r="F15" s="2"/>
      <c r="G15" s="2"/>
      <c r="H15" s="2"/>
      <c r="I15" s="2"/>
      <c r="J15" s="10" t="n">
        <f aca="false">AVERAGE(J11:J14)</f>
        <v>21.825</v>
      </c>
      <c r="K15" s="10" t="n">
        <f aca="false">AVERAGE(K11:K14)</f>
        <v>50.8684915323392</v>
      </c>
      <c r="L15" s="8" t="s">
        <v>40</v>
      </c>
      <c r="M15" s="1" t="s">
        <v>41</v>
      </c>
      <c r="O15" s="2"/>
      <c r="P15" s="2"/>
    </row>
    <row r="16" customFormat="false" ht="15" hidden="false" customHeight="false" outlineLevel="0" collapsed="false">
      <c r="A16" s="2"/>
      <c r="B16" s="2"/>
      <c r="C16" s="9"/>
      <c r="D16" s="2"/>
      <c r="E16" s="2"/>
      <c r="F16" s="2"/>
      <c r="G16" s="2"/>
      <c r="H16" s="2"/>
      <c r="I16" s="2"/>
      <c r="J16" s="10" t="n">
        <f aca="false">STDEV(J11:J14)/SQRT(COUNT(J11:J14))</f>
        <v>2.79802757908734</v>
      </c>
      <c r="K16" s="10" t="n">
        <f aca="false">STDEV(K11:K14)/SQRT(COUNT(K11:K14))</f>
        <v>9.89199353617205</v>
      </c>
      <c r="L16" s="11" t="s">
        <v>42</v>
      </c>
      <c r="M16" s="1" t="s">
        <v>43</v>
      </c>
      <c r="O16" s="2"/>
      <c r="P16" s="2"/>
    </row>
    <row r="17" customFormat="false" ht="15" hidden="false" customHeight="false" outlineLevel="0" collapsed="false">
      <c r="A17" s="2"/>
      <c r="B17" s="2"/>
      <c r="C17" s="9"/>
      <c r="D17" s="2"/>
      <c r="E17" s="2"/>
      <c r="F17" s="2"/>
      <c r="G17" s="2"/>
      <c r="H17" s="2"/>
      <c r="I17" s="2"/>
      <c r="J17" s="10" t="n">
        <f aca="false">_xlfn.T.INV.2T(0.05,(COUNT(J11:J14)-1))*J16</f>
        <v>8.90457253114842</v>
      </c>
      <c r="K17" s="10" t="n">
        <f aca="false">_xlfn.T.INV.2T(0.05,(COUNT(K11:K14)-1))*K16</f>
        <v>31.4807382810811</v>
      </c>
      <c r="L17" s="8" t="s">
        <v>44</v>
      </c>
      <c r="M17" s="1" t="s">
        <v>45</v>
      </c>
      <c r="O17" s="2"/>
      <c r="P17" s="2"/>
    </row>
    <row r="18" customFormat="false" ht="15" hidden="false" customHeight="false" outlineLevel="0" collapsed="false">
      <c r="A18" s="2"/>
      <c r="B18" s="2"/>
      <c r="C18" s="9"/>
      <c r="D18" s="2"/>
      <c r="E18" s="2"/>
      <c r="F18" s="2"/>
      <c r="G18" s="2"/>
      <c r="H18" s="2"/>
      <c r="I18" s="2"/>
      <c r="J18" s="2"/>
      <c r="K18" s="18"/>
      <c r="L18" s="2"/>
      <c r="M18" s="2"/>
      <c r="O18" s="2"/>
      <c r="P18" s="2"/>
    </row>
    <row r="19" customFormat="false" ht="15" hidden="false" customHeight="false" outlineLevel="0" collapsed="false">
      <c r="A19" s="2" t="s">
        <v>20</v>
      </c>
      <c r="B19" s="2" t="n">
        <v>3</v>
      </c>
      <c r="C19" s="9" t="n">
        <v>46265</v>
      </c>
      <c r="D19" s="2" t="n">
        <v>1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n">
        <v>62.2</v>
      </c>
      <c r="K19" s="18" t="n">
        <v>37.0904282664445</v>
      </c>
      <c r="L19" s="2"/>
      <c r="M19" s="2"/>
      <c r="N19" s="2"/>
      <c r="O19" s="2"/>
      <c r="P19" s="2"/>
    </row>
    <row r="20" customFormat="false" ht="15" hidden="false" customHeight="false" outlineLevel="0" collapsed="false">
      <c r="A20" s="2" t="s">
        <v>20</v>
      </c>
      <c r="B20" s="2" t="n">
        <v>3</v>
      </c>
      <c r="C20" s="9" t="n">
        <v>46265</v>
      </c>
      <c r="D20" s="2" t="n">
        <v>2</v>
      </c>
      <c r="E20" s="2" t="s">
        <v>26</v>
      </c>
      <c r="F20" s="2" t="s">
        <v>30</v>
      </c>
      <c r="G20" s="2" t="s">
        <v>28</v>
      </c>
      <c r="H20" s="2" t="s">
        <v>27</v>
      </c>
      <c r="I20" s="2" t="s">
        <v>29</v>
      </c>
      <c r="J20" s="2" t="n">
        <v>28.3</v>
      </c>
      <c r="K20" s="18" t="n">
        <v>43.47390891909</v>
      </c>
      <c r="L20" s="2"/>
      <c r="M20" s="2"/>
      <c r="O20" s="2"/>
      <c r="P20" s="2"/>
    </row>
    <row r="21" customFormat="false" ht="15" hidden="false" customHeight="false" outlineLevel="0" collapsed="false">
      <c r="A21" s="2" t="s">
        <v>20</v>
      </c>
      <c r="B21" s="2" t="n">
        <v>3</v>
      </c>
      <c r="C21" s="9" t="n">
        <v>46265</v>
      </c>
      <c r="D21" s="2" t="n">
        <v>3</v>
      </c>
      <c r="E21" s="2" t="s">
        <v>34</v>
      </c>
      <c r="F21" s="2" t="s">
        <v>31</v>
      </c>
      <c r="G21" s="2" t="s">
        <v>32</v>
      </c>
      <c r="H21" s="2" t="s">
        <v>33</v>
      </c>
      <c r="I21" s="2" t="s">
        <v>25</v>
      </c>
      <c r="J21" s="2" t="n">
        <v>17.4</v>
      </c>
      <c r="K21" s="18" t="n">
        <v>22.5056432770161</v>
      </c>
      <c r="L21" s="2"/>
      <c r="M21" s="2"/>
      <c r="O21" s="2"/>
      <c r="P21" s="2"/>
    </row>
    <row r="22" customFormat="false" ht="15" hidden="false" customHeight="false" outlineLevel="0" collapsed="false">
      <c r="A22" s="2" t="s">
        <v>20</v>
      </c>
      <c r="B22" s="2" t="n">
        <v>3</v>
      </c>
      <c r="C22" s="9" t="n">
        <v>46265</v>
      </c>
      <c r="D22" s="2" t="n">
        <v>4</v>
      </c>
      <c r="E22" s="2" t="s">
        <v>35</v>
      </c>
      <c r="F22" s="2" t="s">
        <v>36</v>
      </c>
      <c r="G22" s="2" t="s">
        <v>37</v>
      </c>
      <c r="H22" s="2" t="s">
        <v>38</v>
      </c>
      <c r="I22" s="2" t="s">
        <v>39</v>
      </c>
      <c r="J22" s="2" t="n">
        <v>22.7</v>
      </c>
      <c r="K22" s="18" t="n">
        <v>21.5264410482169</v>
      </c>
      <c r="L22" s="2"/>
      <c r="M22" s="2"/>
      <c r="O22" s="2"/>
      <c r="P22" s="2"/>
    </row>
    <row r="23" customFormat="false" ht="15" hidden="false" customHeight="false" outlineLevel="0" collapsed="false">
      <c r="A23" s="2"/>
      <c r="B23" s="2"/>
      <c r="C23" s="9"/>
      <c r="D23" s="2"/>
      <c r="E23" s="2"/>
      <c r="F23" s="2"/>
      <c r="G23" s="2"/>
      <c r="H23" s="2"/>
      <c r="I23" s="2"/>
      <c r="J23" s="10" t="n">
        <f aca="false">AVERAGE(J19:J22)</f>
        <v>32.65</v>
      </c>
      <c r="K23" s="10" t="n">
        <f aca="false">AVERAGE(K19:K22)</f>
        <v>31.1491053776919</v>
      </c>
      <c r="L23" s="8" t="s">
        <v>40</v>
      </c>
      <c r="M23" s="1" t="s">
        <v>41</v>
      </c>
      <c r="O23" s="2"/>
      <c r="P23" s="2"/>
    </row>
    <row r="24" customFormat="false" ht="15" hidden="false" customHeight="false" outlineLevel="0" collapsed="false">
      <c r="A24" s="2"/>
      <c r="B24" s="2"/>
      <c r="C24" s="9"/>
      <c r="D24" s="2"/>
      <c r="E24" s="2"/>
      <c r="F24" s="2"/>
      <c r="G24" s="2"/>
      <c r="H24" s="2"/>
      <c r="I24" s="2"/>
      <c r="J24" s="10" t="n">
        <f aca="false">STDEV(J19:J22)/SQRT(COUNT(J19:J22))</f>
        <v>10.0982259167968</v>
      </c>
      <c r="K24" s="10" t="n">
        <f aca="false">STDEV(K19:K22)/SQRT(COUNT(K19:K22))</f>
        <v>5.43526452810749</v>
      </c>
      <c r="L24" s="11" t="s">
        <v>42</v>
      </c>
      <c r="M24" s="1" t="s">
        <v>43</v>
      </c>
      <c r="O24" s="2"/>
      <c r="P24" s="2"/>
    </row>
    <row r="25" customFormat="false" ht="15" hidden="false" customHeight="false" outlineLevel="0" collapsed="false">
      <c r="A25" s="2"/>
      <c r="B25" s="2"/>
      <c r="C25" s="9"/>
      <c r="D25" s="2"/>
      <c r="E25" s="2"/>
      <c r="F25" s="2"/>
      <c r="G25" s="2"/>
      <c r="H25" s="2"/>
      <c r="I25" s="2"/>
      <c r="J25" s="10" t="n">
        <f aca="false">_xlfn.T.INV.2T(0.05,(COUNT(J19:J22)-1))*J24</f>
        <v>32.1370617588302</v>
      </c>
      <c r="K25" s="10" t="n">
        <f aca="false">_xlfn.T.INV.2T(0.05,(COUNT(K19:K22)-1))*K24</f>
        <v>17.2974375157153</v>
      </c>
      <c r="L25" s="8" t="s">
        <v>44</v>
      </c>
      <c r="M25" s="1" t="s">
        <v>45</v>
      </c>
      <c r="O25" s="2"/>
      <c r="P25" s="2"/>
    </row>
    <row r="26" customFormat="false" ht="15" hidden="false" customHeight="false" outlineLevel="0" collapsed="false">
      <c r="A26" s="2"/>
      <c r="B26" s="2"/>
      <c r="C26" s="9"/>
      <c r="D26" s="2"/>
      <c r="E26" s="2"/>
      <c r="F26" s="2"/>
      <c r="G26" s="2"/>
      <c r="H26" s="2"/>
      <c r="I26" s="2"/>
      <c r="J26" s="2"/>
      <c r="K26" s="18"/>
      <c r="L26" s="2"/>
      <c r="M26" s="2"/>
      <c r="O26" s="2"/>
      <c r="P26" s="2"/>
    </row>
    <row r="27" customFormat="false" ht="15" hidden="false" customHeight="false" outlineLevel="0" collapsed="false">
      <c r="A27" s="2" t="s">
        <v>20</v>
      </c>
      <c r="B27" s="2" t="n">
        <v>4</v>
      </c>
      <c r="C27" s="9" t="n">
        <v>46265</v>
      </c>
      <c r="D27" s="2" t="n">
        <v>1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2" t="n">
        <v>0.4</v>
      </c>
      <c r="K27" s="18" t="n">
        <v>1.0151271261912</v>
      </c>
      <c r="L27" s="2"/>
      <c r="M27" s="2"/>
      <c r="O27" s="2"/>
      <c r="P27" s="2"/>
    </row>
    <row r="28" customFormat="false" ht="15" hidden="false" customHeight="false" outlineLevel="0" collapsed="false">
      <c r="A28" s="2" t="s">
        <v>20</v>
      </c>
      <c r="B28" s="2" t="n">
        <v>4</v>
      </c>
      <c r="C28" s="9" t="n">
        <v>46265</v>
      </c>
      <c r="D28" s="2" t="n">
        <v>2</v>
      </c>
      <c r="E28" s="2" t="s">
        <v>26</v>
      </c>
      <c r="F28" s="2" t="s">
        <v>30</v>
      </c>
      <c r="G28" s="2" t="s">
        <v>28</v>
      </c>
      <c r="H28" s="2" t="s">
        <v>27</v>
      </c>
      <c r="I28" s="2" t="s">
        <v>29</v>
      </c>
      <c r="J28" s="2" t="n">
        <v>1.7</v>
      </c>
      <c r="K28" s="18" t="n">
        <v>0.130081570812702</v>
      </c>
      <c r="L28" s="2"/>
      <c r="M28" s="2"/>
      <c r="N28" s="2"/>
      <c r="O28" s="2"/>
      <c r="P28" s="2"/>
    </row>
    <row r="29" customFormat="false" ht="15" hidden="false" customHeight="false" outlineLevel="0" collapsed="false">
      <c r="A29" s="2" t="s">
        <v>20</v>
      </c>
      <c r="B29" s="2" t="n">
        <v>4</v>
      </c>
      <c r="C29" s="9" t="n">
        <v>46265</v>
      </c>
      <c r="D29" s="2" t="n">
        <v>3</v>
      </c>
      <c r="E29" s="2" t="s">
        <v>34</v>
      </c>
      <c r="F29" s="2" t="s">
        <v>31</v>
      </c>
      <c r="G29" s="2" t="s">
        <v>32</v>
      </c>
      <c r="H29" s="2" t="s">
        <v>33</v>
      </c>
      <c r="I29" s="2" t="s">
        <v>25</v>
      </c>
      <c r="J29" s="2" t="n">
        <v>0.2</v>
      </c>
      <c r="K29" s="18" t="n">
        <v>0</v>
      </c>
      <c r="L29" s="2"/>
      <c r="M29" s="2"/>
      <c r="O29" s="2"/>
      <c r="P29" s="2"/>
    </row>
    <row r="30" customFormat="false" ht="15" hidden="false" customHeight="false" outlineLevel="0" collapsed="false">
      <c r="A30" s="2" t="s">
        <v>20</v>
      </c>
      <c r="B30" s="2" t="n">
        <v>4</v>
      </c>
      <c r="C30" s="9" t="n">
        <v>46265</v>
      </c>
      <c r="D30" s="2" t="n">
        <v>4</v>
      </c>
      <c r="E30" s="2" t="s">
        <v>35</v>
      </c>
      <c r="F30" s="2" t="s">
        <v>36</v>
      </c>
      <c r="G30" s="2" t="s">
        <v>37</v>
      </c>
      <c r="H30" s="2" t="s">
        <v>38</v>
      </c>
      <c r="I30" s="2" t="s">
        <v>39</v>
      </c>
      <c r="J30" s="2" t="n">
        <v>0</v>
      </c>
      <c r="K30" s="18" t="n">
        <v>0.0551545860245858</v>
      </c>
      <c r="L30" s="2"/>
      <c r="M30" s="2"/>
      <c r="O30" s="2"/>
      <c r="P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10" t="n">
        <f aca="false">AVERAGE(J27:J30)</f>
        <v>0.575</v>
      </c>
      <c r="K31" s="10" t="n">
        <f aca="false">AVERAGE(K27:K30)</f>
        <v>0.300090820757123</v>
      </c>
      <c r="L31" s="8" t="s">
        <v>40</v>
      </c>
      <c r="M31" s="1" t="s">
        <v>41</v>
      </c>
      <c r="O31" s="2"/>
      <c r="P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10" t="n">
        <f aca="false">STDEV(J27:J30)/SQRT(COUNT(J27:J30))</f>
        <v>0.383785964655648</v>
      </c>
      <c r="K32" s="10" t="n">
        <f aca="false">STDEV(K27:K30)/SQRT(COUNT(K27:K30))</f>
        <v>0.239831246738048</v>
      </c>
      <c r="L32" s="11" t="s">
        <v>42</v>
      </c>
      <c r="M32" s="1" t="s">
        <v>43</v>
      </c>
      <c r="O32" s="2"/>
      <c r="P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10" t="n">
        <f aca="false">_xlfn.T.INV.2T(0.05,(COUNT(J27:J30)-1))*J32</f>
        <v>1.22137822523811</v>
      </c>
      <c r="K33" s="10" t="n">
        <f aca="false">_xlfn.T.INV.2T(0.05,(COUNT(K27:K30)-1))*K32</f>
        <v>0.763250065073088</v>
      </c>
      <c r="L33" s="8" t="s">
        <v>44</v>
      </c>
      <c r="M33" s="1" t="s">
        <v>45</v>
      </c>
      <c r="N33" s="2"/>
      <c r="O33" s="2"/>
      <c r="P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</sheetData>
  <mergeCells count="1">
    <mergeCell ref="J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M11" activeCellId="0" sqref="M11"/>
    </sheetView>
  </sheetViews>
  <sheetFormatPr defaultColWidth="11.00390625" defaultRowHeight="15" zeroHeight="false" outlineLevelRow="0" outlineLevelCol="0"/>
  <cols>
    <col collapsed="false" customWidth="true" hidden="false" outlineLevel="0" max="9" min="5" style="0" width="15.17"/>
    <col collapsed="false" customWidth="true" hidden="false" outlineLevel="0" max="11" min="11" style="0" width="12.16"/>
  </cols>
  <sheetData>
    <row r="1" customFormat="false" ht="15" hidden="false" customHeight="true" outlineLevel="0" collapsed="false">
      <c r="J1" s="19" t="s">
        <v>55</v>
      </c>
      <c r="K1" s="19"/>
    </row>
    <row r="2" customFormat="false" ht="47.25" hidden="false" customHeight="true" outlineLevel="0" collapsed="false">
      <c r="A2" s="4" t="s">
        <v>11</v>
      </c>
      <c r="B2" s="4" t="s">
        <v>0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14" t="s">
        <v>56</v>
      </c>
      <c r="K2" s="14" t="s">
        <v>57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n">
        <v>87.6</v>
      </c>
      <c r="K3" s="2" t="n">
        <v>64.688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2</v>
      </c>
      <c r="E4" s="2" t="s">
        <v>26</v>
      </c>
      <c r="F4" s="2" t="s">
        <v>30</v>
      </c>
      <c r="G4" s="2" t="s">
        <v>28</v>
      </c>
      <c r="H4" s="2" t="s">
        <v>27</v>
      </c>
      <c r="I4" s="2" t="s">
        <v>29</v>
      </c>
      <c r="J4" s="2" t="n">
        <v>59.2</v>
      </c>
      <c r="K4" s="2" t="n">
        <v>59.936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3</v>
      </c>
      <c r="E5" s="2" t="s">
        <v>34</v>
      </c>
      <c r="F5" s="2" t="s">
        <v>31</v>
      </c>
      <c r="G5" s="2" t="s">
        <v>32</v>
      </c>
      <c r="H5" s="2" t="s">
        <v>33</v>
      </c>
      <c r="I5" s="2" t="s">
        <v>25</v>
      </c>
      <c r="J5" s="2" t="n">
        <v>71.4</v>
      </c>
      <c r="K5" s="2" t="n">
        <v>58.24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n">
        <v>53</v>
      </c>
      <c r="K6" s="2" t="n">
        <v>55.352</v>
      </c>
    </row>
    <row r="7" customFormat="false" ht="15" hidden="false" customHeight="false" outlineLevel="0" collapsed="false">
      <c r="A7" s="2"/>
      <c r="B7" s="2"/>
      <c r="C7" s="9"/>
      <c r="D7" s="2"/>
      <c r="E7" s="2"/>
      <c r="F7" s="2"/>
      <c r="G7" s="2"/>
      <c r="H7" s="2"/>
      <c r="I7" s="2"/>
      <c r="J7" s="20" t="n">
        <f aca="false">AVERAGE(J3:J6)</f>
        <v>67.8</v>
      </c>
      <c r="K7" s="10" t="n">
        <f aca="false">AVERAGE(K3:K6)</f>
        <v>59.554</v>
      </c>
      <c r="L7" s="8" t="s">
        <v>40</v>
      </c>
      <c r="M7" s="1" t="s">
        <v>41</v>
      </c>
    </row>
    <row r="8" customFormat="false" ht="15" hidden="false" customHeight="false" outlineLevel="0" collapsed="false">
      <c r="A8" s="2"/>
      <c r="B8" s="2"/>
      <c r="C8" s="9"/>
      <c r="D8" s="2"/>
      <c r="E8" s="2"/>
      <c r="F8" s="2"/>
      <c r="G8" s="2"/>
      <c r="H8" s="2"/>
      <c r="I8" s="2"/>
      <c r="J8" s="20" t="n">
        <f aca="false">STDEV(J3:J6)/SQRT(COUNT(J3:J6))</f>
        <v>7.62670745909836</v>
      </c>
      <c r="K8" s="10" t="n">
        <f aca="false">STDEV(K3:K6)/SQRT(COUNT(K3:K6))</f>
        <v>1.95548970848737</v>
      </c>
      <c r="L8" s="11" t="s">
        <v>42</v>
      </c>
      <c r="M8" s="1" t="s">
        <v>43</v>
      </c>
    </row>
    <row r="9" customFormat="false" ht="15" hidden="false" customHeight="false" outlineLevel="0" collapsed="false">
      <c r="A9" s="2"/>
      <c r="B9" s="2"/>
      <c r="C9" s="9"/>
      <c r="D9" s="2"/>
      <c r="E9" s="2"/>
      <c r="F9" s="2"/>
      <c r="G9" s="2"/>
      <c r="H9" s="2"/>
      <c r="I9" s="2"/>
      <c r="J9" s="20" t="n">
        <f aca="false">_xlfn.T.INV.2T(0.05,(COUNT(J3:J6)-1))*J8</f>
        <v>24.2715869746873</v>
      </c>
      <c r="K9" s="10" t="n">
        <f aca="false">_xlfn.T.INV.2T(0.05,(COUNT(K3:K6)-1))*K8</f>
        <v>6.22324099779594</v>
      </c>
      <c r="L9" s="8" t="s">
        <v>44</v>
      </c>
      <c r="M9" s="1" t="s">
        <v>45</v>
      </c>
    </row>
    <row r="10" customFormat="false" ht="15" hidden="false" customHeight="false" outlineLevel="0" collapsed="false">
      <c r="A10" s="2"/>
      <c r="B10" s="2"/>
      <c r="C10" s="9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 t="s">
        <v>20</v>
      </c>
      <c r="B11" s="2" t="n">
        <v>2</v>
      </c>
      <c r="C11" s="9" t="n">
        <v>46264</v>
      </c>
      <c r="D11" s="2" t="n">
        <v>1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n">
        <v>100</v>
      </c>
      <c r="K11" s="2" t="n">
        <v>73.632</v>
      </c>
    </row>
    <row r="12" customFormat="false" ht="15" hidden="false" customHeight="false" outlineLevel="0" collapsed="false">
      <c r="A12" s="2" t="s">
        <v>20</v>
      </c>
      <c r="B12" s="2" t="n">
        <v>2</v>
      </c>
      <c r="C12" s="9" t="n">
        <v>46264</v>
      </c>
      <c r="D12" s="2" t="n">
        <v>2</v>
      </c>
      <c r="E12" s="2" t="s">
        <v>26</v>
      </c>
      <c r="F12" s="2" t="s">
        <v>30</v>
      </c>
      <c r="G12" s="2" t="s">
        <v>28</v>
      </c>
      <c r="H12" s="2" t="s">
        <v>27</v>
      </c>
      <c r="I12" s="2" t="s">
        <v>29</v>
      </c>
      <c r="J12" s="2" t="n">
        <v>100</v>
      </c>
      <c r="K12" s="2" t="n">
        <v>84.864</v>
      </c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3</v>
      </c>
      <c r="E13" s="2" t="s">
        <v>34</v>
      </c>
      <c r="F13" s="2" t="s">
        <v>31</v>
      </c>
      <c r="G13" s="2" t="s">
        <v>32</v>
      </c>
      <c r="H13" s="2" t="s">
        <v>33</v>
      </c>
      <c r="I13" s="2" t="s">
        <v>25</v>
      </c>
      <c r="J13" s="2" t="n">
        <v>91.8</v>
      </c>
      <c r="K13" s="2" t="n">
        <v>67.392</v>
      </c>
    </row>
    <row r="14" customFormat="false" ht="15" hidden="false" customHeight="false" outlineLevel="0" collapsed="false">
      <c r="A14" s="2" t="s">
        <v>20</v>
      </c>
      <c r="B14" s="2" t="n">
        <v>2</v>
      </c>
      <c r="C14" s="9" t="n">
        <v>46264</v>
      </c>
      <c r="D14" s="2" t="n">
        <v>4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2" t="n">
        <v>100</v>
      </c>
      <c r="K14" s="2" t="n">
        <v>81.12</v>
      </c>
    </row>
    <row r="15" customFormat="false" ht="15" hidden="false" customHeight="false" outlineLevel="0" collapsed="false">
      <c r="A15" s="2"/>
      <c r="B15" s="2"/>
      <c r="C15" s="9"/>
      <c r="D15" s="2"/>
      <c r="E15" s="2"/>
      <c r="F15" s="2"/>
      <c r="G15" s="2"/>
      <c r="H15" s="2"/>
      <c r="I15" s="2"/>
      <c r="J15" s="20" t="n">
        <f aca="false">AVERAGE(J11:J14)</f>
        <v>97.95</v>
      </c>
      <c r="K15" s="10" t="n">
        <f aca="false">AVERAGE(K11:K14)</f>
        <v>76.752</v>
      </c>
      <c r="L15" s="8" t="s">
        <v>40</v>
      </c>
      <c r="M15" s="1" t="s">
        <v>41</v>
      </c>
    </row>
    <row r="16" customFormat="false" ht="15" hidden="false" customHeight="false" outlineLevel="0" collapsed="false">
      <c r="A16" s="2"/>
      <c r="B16" s="2"/>
      <c r="C16" s="9"/>
      <c r="D16" s="2"/>
      <c r="E16" s="2"/>
      <c r="F16" s="2"/>
      <c r="G16" s="2"/>
      <c r="H16" s="2"/>
      <c r="I16" s="2"/>
      <c r="J16" s="20" t="n">
        <f aca="false">STDEV(J11:J14)/SQRT(COUNT(J11:J14))</f>
        <v>2.05</v>
      </c>
      <c r="K16" s="10" t="n">
        <f aca="false">STDEV(K11:K14)/SQRT(COUNT(K11:K14))</f>
        <v>3.8968787510006</v>
      </c>
      <c r="L16" s="11" t="s">
        <v>42</v>
      </c>
      <c r="M16" s="1" t="s">
        <v>43</v>
      </c>
    </row>
    <row r="17" customFormat="false" ht="15" hidden="false" customHeight="false" outlineLevel="0" collapsed="false">
      <c r="A17" s="2"/>
      <c r="B17" s="2"/>
      <c r="C17" s="9"/>
      <c r="D17" s="2"/>
      <c r="E17" s="2"/>
      <c r="F17" s="2"/>
      <c r="G17" s="2"/>
      <c r="H17" s="2"/>
      <c r="I17" s="2"/>
      <c r="J17" s="20" t="n">
        <f aca="false">_xlfn.T.INV.2T(0.05,(COUNT(J11:J14)-1))*J16</f>
        <v>6.52401492583161</v>
      </c>
      <c r="K17" s="10" t="n">
        <f aca="false">_xlfn.T.INV.2T(0.05,(COUNT(K11:K14)-1))*K16</f>
        <v>12.4016073832605</v>
      </c>
      <c r="L17" s="8" t="s">
        <v>44</v>
      </c>
      <c r="M17" s="1" t="s">
        <v>45</v>
      </c>
    </row>
    <row r="18" customFormat="false" ht="15" hidden="false" customHeight="false" outlineLevel="0" collapsed="false">
      <c r="A18" s="2"/>
      <c r="B18" s="2"/>
      <c r="C18" s="9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 t="s">
        <v>20</v>
      </c>
      <c r="B19" s="2" t="n">
        <v>3</v>
      </c>
      <c r="C19" s="9" t="n">
        <v>46265</v>
      </c>
      <c r="D19" s="2" t="n">
        <v>1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n">
        <v>100</v>
      </c>
      <c r="K19" s="2" t="n">
        <v>83.824</v>
      </c>
    </row>
    <row r="20" customFormat="false" ht="15" hidden="false" customHeight="false" outlineLevel="0" collapsed="false">
      <c r="A20" s="2" t="s">
        <v>20</v>
      </c>
      <c r="B20" s="2" t="n">
        <v>3</v>
      </c>
      <c r="C20" s="9" t="n">
        <v>46265</v>
      </c>
      <c r="D20" s="2" t="n">
        <v>2</v>
      </c>
      <c r="E20" s="2" t="s">
        <v>26</v>
      </c>
      <c r="F20" s="2" t="s">
        <v>30</v>
      </c>
      <c r="G20" s="2" t="s">
        <v>28</v>
      </c>
      <c r="H20" s="2" t="s">
        <v>27</v>
      </c>
      <c r="I20" s="2" t="s">
        <v>29</v>
      </c>
      <c r="J20" s="2" t="n">
        <v>93</v>
      </c>
      <c r="K20" s="2" t="n">
        <v>86.944</v>
      </c>
    </row>
    <row r="21" customFormat="false" ht="15" hidden="false" customHeight="false" outlineLevel="0" collapsed="false">
      <c r="A21" s="2" t="s">
        <v>20</v>
      </c>
      <c r="B21" s="2" t="n">
        <v>3</v>
      </c>
      <c r="C21" s="9" t="n">
        <v>46265</v>
      </c>
      <c r="D21" s="2" t="n">
        <v>3</v>
      </c>
      <c r="E21" s="2" t="s">
        <v>34</v>
      </c>
      <c r="F21" s="2" t="s">
        <v>31</v>
      </c>
      <c r="G21" s="2" t="s">
        <v>32</v>
      </c>
      <c r="H21" s="2" t="s">
        <v>33</v>
      </c>
      <c r="I21" s="2" t="s">
        <v>25</v>
      </c>
      <c r="J21" s="2" t="n">
        <v>92.4</v>
      </c>
      <c r="K21" s="2" t="n">
        <v>91.52</v>
      </c>
    </row>
    <row r="22" customFormat="false" ht="15" hidden="false" customHeight="false" outlineLevel="0" collapsed="false">
      <c r="A22" s="2" t="s">
        <v>20</v>
      </c>
      <c r="B22" s="2" t="n">
        <v>3</v>
      </c>
      <c r="C22" s="9" t="n">
        <v>46265</v>
      </c>
      <c r="D22" s="2" t="n">
        <v>4</v>
      </c>
      <c r="E22" s="2" t="s">
        <v>35</v>
      </c>
      <c r="F22" s="2" t="s">
        <v>36</v>
      </c>
      <c r="G22" s="2" t="s">
        <v>37</v>
      </c>
      <c r="H22" s="2" t="s">
        <v>38</v>
      </c>
      <c r="I22" s="2" t="s">
        <v>39</v>
      </c>
      <c r="J22" s="2" t="n">
        <v>99.8</v>
      </c>
      <c r="K22" s="2" t="n">
        <v>84.656</v>
      </c>
    </row>
    <row r="23" customFormat="false" ht="15" hidden="false" customHeight="false" outlineLevel="0" collapsed="false">
      <c r="A23" s="2"/>
      <c r="B23" s="2"/>
      <c r="C23" s="9"/>
      <c r="D23" s="2"/>
      <c r="E23" s="2"/>
      <c r="F23" s="2"/>
      <c r="G23" s="2"/>
      <c r="H23" s="2"/>
      <c r="I23" s="2"/>
      <c r="J23" s="20" t="n">
        <f aca="false">AVERAGE(J19:J22)</f>
        <v>96.3</v>
      </c>
      <c r="K23" s="10" t="n">
        <f aca="false">AVERAGE(K19:K22)</f>
        <v>86.736</v>
      </c>
      <c r="L23" s="8" t="s">
        <v>40</v>
      </c>
      <c r="M23" s="1" t="s">
        <v>41</v>
      </c>
    </row>
    <row r="24" customFormat="false" ht="15" hidden="false" customHeight="false" outlineLevel="0" collapsed="false">
      <c r="A24" s="2"/>
      <c r="B24" s="2"/>
      <c r="C24" s="9"/>
      <c r="D24" s="2"/>
      <c r="E24" s="2"/>
      <c r="F24" s="2"/>
      <c r="G24" s="2"/>
      <c r="H24" s="2"/>
      <c r="I24" s="2"/>
      <c r="J24" s="20" t="n">
        <f aca="false">STDEV(J19:J22)/SQRT(COUNT(J19:J22))</f>
        <v>2.08246648632497</v>
      </c>
      <c r="K24" s="10" t="n">
        <f aca="false">STDEV(K19:K22)/SQRT(COUNT(K19:K22))</f>
        <v>1.72568981376531</v>
      </c>
      <c r="L24" s="11" t="s">
        <v>42</v>
      </c>
      <c r="M24" s="1" t="s">
        <v>43</v>
      </c>
    </row>
    <row r="25" customFormat="false" ht="15" hidden="false" customHeight="false" outlineLevel="0" collapsed="false">
      <c r="A25" s="2"/>
      <c r="B25" s="2"/>
      <c r="C25" s="9"/>
      <c r="D25" s="2"/>
      <c r="E25" s="2"/>
      <c r="F25" s="2"/>
      <c r="G25" s="2"/>
      <c r="H25" s="2"/>
      <c r="I25" s="2"/>
      <c r="J25" s="20" t="n">
        <f aca="false">_xlfn.T.INV.2T(0.05,(COUNT(J19:J22)-1))*J24</f>
        <v>6.62733777528205</v>
      </c>
      <c r="K25" s="10" t="n">
        <f aca="false">_xlfn.T.INV.2T(0.05,(COUNT(K19:K22)-1))*K24</f>
        <v>5.49191517188314</v>
      </c>
      <c r="L25" s="8" t="s">
        <v>44</v>
      </c>
      <c r="M25" s="1" t="s">
        <v>45</v>
      </c>
    </row>
    <row r="26" customFormat="false" ht="15" hidden="false" customHeight="false" outlineLevel="0" collapsed="false">
      <c r="A26" s="2"/>
      <c r="B26" s="2"/>
      <c r="C26" s="9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 t="s">
        <v>20</v>
      </c>
      <c r="B27" s="2" t="n">
        <v>4</v>
      </c>
      <c r="C27" s="9" t="n">
        <v>46265</v>
      </c>
      <c r="D27" s="2" t="n">
        <v>1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2" t="n">
        <v>9.2</v>
      </c>
      <c r="K27" s="2" t="n">
        <v>0</v>
      </c>
    </row>
    <row r="28" customFormat="false" ht="15" hidden="false" customHeight="false" outlineLevel="0" collapsed="false">
      <c r="A28" s="2" t="s">
        <v>20</v>
      </c>
      <c r="B28" s="2" t="n">
        <v>4</v>
      </c>
      <c r="C28" s="9" t="n">
        <v>46265</v>
      </c>
      <c r="D28" s="2" t="n">
        <v>2</v>
      </c>
      <c r="E28" s="2" t="s">
        <v>26</v>
      </c>
      <c r="F28" s="2" t="s">
        <v>30</v>
      </c>
      <c r="G28" s="2" t="s">
        <v>28</v>
      </c>
      <c r="H28" s="2" t="s">
        <v>27</v>
      </c>
      <c r="I28" s="2" t="s">
        <v>29</v>
      </c>
      <c r="J28" s="2" t="n">
        <v>0.6</v>
      </c>
      <c r="K28" s="2" t="n">
        <v>0</v>
      </c>
    </row>
    <row r="29" customFormat="false" ht="15" hidden="false" customHeight="false" outlineLevel="0" collapsed="false">
      <c r="A29" s="2" t="s">
        <v>20</v>
      </c>
      <c r="B29" s="2" t="n">
        <v>4</v>
      </c>
      <c r="C29" s="9" t="n">
        <v>46265</v>
      </c>
      <c r="D29" s="2" t="n">
        <v>3</v>
      </c>
      <c r="E29" s="2" t="s">
        <v>34</v>
      </c>
      <c r="F29" s="2" t="s">
        <v>31</v>
      </c>
      <c r="G29" s="2" t="s">
        <v>32</v>
      </c>
      <c r="H29" s="2" t="s">
        <v>33</v>
      </c>
      <c r="I29" s="2" t="s">
        <v>25</v>
      </c>
      <c r="J29" s="2" t="n">
        <v>0</v>
      </c>
      <c r="K29" s="2" t="n">
        <v>0</v>
      </c>
    </row>
    <row r="30" customFormat="false" ht="15" hidden="false" customHeight="false" outlineLevel="0" collapsed="false">
      <c r="A30" s="2" t="s">
        <v>20</v>
      </c>
      <c r="B30" s="2" t="n">
        <v>4</v>
      </c>
      <c r="C30" s="9" t="n">
        <v>46265</v>
      </c>
      <c r="D30" s="2" t="n">
        <v>4</v>
      </c>
      <c r="E30" s="2" t="s">
        <v>35</v>
      </c>
      <c r="F30" s="2" t="s">
        <v>36</v>
      </c>
      <c r="G30" s="2" t="s">
        <v>37</v>
      </c>
      <c r="H30" s="2" t="s">
        <v>38</v>
      </c>
      <c r="I30" s="2" t="s">
        <v>39</v>
      </c>
      <c r="J30" s="2" t="n">
        <v>0</v>
      </c>
      <c r="K30" s="2" t="n">
        <v>0</v>
      </c>
    </row>
    <row r="31" customFormat="false" ht="15" hidden="false" customHeight="false" outlineLevel="0" collapsed="false">
      <c r="J31" s="20" t="n">
        <f aca="false">AVERAGE(J27:J30)</f>
        <v>2.45</v>
      </c>
      <c r="K31" s="10" t="n">
        <f aca="false">AVERAGE(K27:K30)</f>
        <v>0</v>
      </c>
      <c r="L31" s="8" t="s">
        <v>40</v>
      </c>
      <c r="M31" s="1" t="s">
        <v>41</v>
      </c>
    </row>
    <row r="32" customFormat="false" ht="15" hidden="false" customHeight="false" outlineLevel="0" collapsed="false">
      <c r="J32" s="20" t="n">
        <f aca="false">STDEV(J27:J30)/SQRT(COUNT(J27:J30))</f>
        <v>2.2544400635191</v>
      </c>
      <c r="K32" s="10" t="n">
        <f aca="false">STDEV(K27:K30)/SQRT(COUNT(K27:K30))</f>
        <v>0</v>
      </c>
      <c r="L32" s="11" t="s">
        <v>42</v>
      </c>
      <c r="M32" s="1" t="s">
        <v>43</v>
      </c>
    </row>
    <row r="33" customFormat="false" ht="15" hidden="false" customHeight="false" outlineLevel="0" collapsed="false">
      <c r="J33" s="20" t="n">
        <f aca="false">_xlfn.T.INV.2T(0.05,(COUNT(J27:J30)-1))*J32</f>
        <v>7.17463445062993</v>
      </c>
      <c r="K33" s="10" t="n">
        <f aca="false">_xlfn.T.INV.2T(0.05,(COUNT(K27:K30)-1))*K32</f>
        <v>0</v>
      </c>
      <c r="L33" s="8" t="s">
        <v>44</v>
      </c>
      <c r="M33" s="1" t="s">
        <v>45</v>
      </c>
    </row>
    <row r="34" customFormat="false" ht="15" hidden="false" customHeight="false" outlineLevel="0" collapsed="false">
      <c r="J34" s="2"/>
      <c r="K34" s="2"/>
    </row>
    <row r="35" customFormat="false" ht="15" hidden="false" customHeight="false" outlineLevel="0" collapsed="false">
      <c r="J35" s="2"/>
      <c r="K35" s="2"/>
    </row>
    <row r="36" customFormat="false" ht="15" hidden="false" customHeight="false" outlineLevel="0" collapsed="false">
      <c r="J36" s="2"/>
      <c r="K36" s="2"/>
    </row>
    <row r="37" customFormat="false" ht="15" hidden="false" customHeight="false" outlineLevel="0" collapsed="false">
      <c r="J37" s="2"/>
      <c r="K37" s="2"/>
    </row>
    <row r="38" customFormat="false" ht="15" hidden="false" customHeight="false" outlineLevel="0" collapsed="false">
      <c r="J38" s="2"/>
      <c r="K38" s="2"/>
    </row>
    <row r="39" customFormat="false" ht="15" hidden="false" customHeight="false" outlineLevel="0" collapsed="false">
      <c r="J39" s="2"/>
      <c r="K39" s="2"/>
    </row>
    <row r="40" customFormat="false" ht="15" hidden="false" customHeight="false" outlineLevel="0" collapsed="false">
      <c r="J40" s="2"/>
      <c r="K40" s="2"/>
    </row>
    <row r="41" customFormat="false" ht="15" hidden="false" customHeight="false" outlineLevel="0" collapsed="false">
      <c r="J41" s="2"/>
      <c r="K41" s="2"/>
    </row>
    <row r="42" customFormat="false" ht="15" hidden="false" customHeight="false" outlineLevel="0" collapsed="false">
      <c r="J42" s="2"/>
      <c r="K42" s="2"/>
    </row>
  </sheetData>
  <mergeCells count="1">
    <mergeCell ref="J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L12" activeCellId="0" sqref="L12"/>
    </sheetView>
  </sheetViews>
  <sheetFormatPr defaultColWidth="11.00390625" defaultRowHeight="15" zeroHeight="false" outlineLevelRow="0" outlineLevelCol="0"/>
  <cols>
    <col collapsed="false" customWidth="true" hidden="false" outlineLevel="0" max="9" min="5" style="0" width="16"/>
  </cols>
  <sheetData>
    <row r="1" customFormat="false" ht="15" hidden="false" customHeight="true" outlineLevel="0" collapsed="false">
      <c r="J1" s="16" t="s">
        <v>58</v>
      </c>
      <c r="K1" s="16"/>
    </row>
    <row r="2" customFormat="false" ht="47.25" hidden="false" customHeight="true" outlineLevel="0" collapsed="false">
      <c r="A2" s="4" t="s">
        <v>11</v>
      </c>
      <c r="B2" s="4" t="s">
        <v>0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17" t="s">
        <v>56</v>
      </c>
      <c r="K2" s="17" t="s">
        <v>59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n">
        <v>0</v>
      </c>
      <c r="K3" s="2" t="n">
        <v>3.5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2</v>
      </c>
      <c r="E4" s="2" t="s">
        <v>26</v>
      </c>
      <c r="F4" s="2" t="s">
        <v>30</v>
      </c>
      <c r="G4" s="2" t="s">
        <v>28</v>
      </c>
      <c r="H4" s="2" t="s">
        <v>27</v>
      </c>
      <c r="I4" s="2" t="s">
        <v>29</v>
      </c>
      <c r="J4" s="2" t="n">
        <v>6.6</v>
      </c>
      <c r="K4" s="2" t="n">
        <v>6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3</v>
      </c>
      <c r="E5" s="2" t="s">
        <v>34</v>
      </c>
      <c r="F5" s="2" t="s">
        <v>31</v>
      </c>
      <c r="G5" s="2" t="s">
        <v>32</v>
      </c>
      <c r="H5" s="2" t="s">
        <v>33</v>
      </c>
      <c r="I5" s="2" t="s">
        <v>25</v>
      </c>
      <c r="J5" s="2" t="n">
        <v>51.6</v>
      </c>
      <c r="K5" s="2" t="n">
        <v>32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n">
        <v>8.9</v>
      </c>
      <c r="K6" s="2" t="n">
        <v>74</v>
      </c>
    </row>
    <row r="7" customFormat="false" ht="15" hidden="false" customHeight="false" outlineLevel="0" collapsed="false">
      <c r="A7" s="2"/>
      <c r="B7" s="2"/>
      <c r="C7" s="9"/>
      <c r="D7" s="2"/>
      <c r="E7" s="2"/>
      <c r="F7" s="2"/>
      <c r="G7" s="2"/>
      <c r="H7" s="2"/>
      <c r="I7" s="2"/>
      <c r="J7" s="20" t="n">
        <f aca="false">AVERAGE(J3:J6)</f>
        <v>16.775</v>
      </c>
      <c r="K7" s="10" t="n">
        <f aca="false">AVERAGE(K3:K6)</f>
        <v>28.875</v>
      </c>
      <c r="L7" s="8" t="s">
        <v>40</v>
      </c>
      <c r="M7" s="1" t="s">
        <v>41</v>
      </c>
    </row>
    <row r="8" customFormat="false" ht="15" hidden="false" customHeight="false" outlineLevel="0" collapsed="false">
      <c r="A8" s="2"/>
      <c r="B8" s="2"/>
      <c r="C8" s="9"/>
      <c r="D8" s="2"/>
      <c r="E8" s="2"/>
      <c r="F8" s="2"/>
      <c r="G8" s="2"/>
      <c r="H8" s="2"/>
      <c r="I8" s="2"/>
      <c r="J8" s="20" t="n">
        <f aca="false">STDEV(J3:J6)/SQRT(COUNT(J3:J6))</f>
        <v>11.7605537709752</v>
      </c>
      <c r="K8" s="10" t="n">
        <f aca="false">STDEV(K3:K6)/SQRT(COUNT(K3:K6))</f>
        <v>16.3635456121221</v>
      </c>
      <c r="L8" s="11" t="s">
        <v>42</v>
      </c>
      <c r="M8" s="1" t="s">
        <v>43</v>
      </c>
    </row>
    <row r="9" customFormat="false" ht="15" hidden="false" customHeight="false" outlineLevel="0" collapsed="false">
      <c r="A9" s="2"/>
      <c r="B9" s="2"/>
      <c r="C9" s="9"/>
      <c r="D9" s="2"/>
      <c r="E9" s="2"/>
      <c r="F9" s="2"/>
      <c r="G9" s="2"/>
      <c r="H9" s="2"/>
      <c r="I9" s="2"/>
      <c r="J9" s="20" t="n">
        <f aca="false">_xlfn.T.INV.2T(0.05,(COUNT(J3:J6)-1))*J8</f>
        <v>37.4273308965306</v>
      </c>
      <c r="K9" s="10" t="n">
        <f aca="false">_xlfn.T.INV.2T(0.05,(COUNT(K3:K6)-1))*K8</f>
        <v>52.0761052746394</v>
      </c>
      <c r="L9" s="8" t="s">
        <v>44</v>
      </c>
      <c r="M9" s="1" t="s">
        <v>45</v>
      </c>
    </row>
    <row r="10" customFormat="false" ht="15" hidden="false" customHeight="false" outlineLevel="0" collapsed="false">
      <c r="A10" s="2"/>
      <c r="B10" s="2"/>
      <c r="C10" s="9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 t="s">
        <v>20</v>
      </c>
      <c r="B11" s="2" t="n">
        <v>2</v>
      </c>
      <c r="C11" s="9" t="n">
        <v>46264</v>
      </c>
      <c r="D11" s="2" t="n">
        <v>1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n">
        <v>76</v>
      </c>
      <c r="K11" s="2" t="n">
        <v>1</v>
      </c>
    </row>
    <row r="12" customFormat="false" ht="15" hidden="false" customHeight="false" outlineLevel="0" collapsed="false">
      <c r="A12" s="2" t="s">
        <v>20</v>
      </c>
      <c r="B12" s="2" t="n">
        <v>2</v>
      </c>
      <c r="C12" s="9" t="n">
        <v>46264</v>
      </c>
      <c r="D12" s="2" t="n">
        <v>2</v>
      </c>
      <c r="E12" s="2" t="s">
        <v>26</v>
      </c>
      <c r="F12" s="2" t="s">
        <v>30</v>
      </c>
      <c r="G12" s="2" t="s">
        <v>28</v>
      </c>
      <c r="H12" s="2" t="s">
        <v>27</v>
      </c>
      <c r="I12" s="2" t="s">
        <v>29</v>
      </c>
      <c r="J12" s="2"/>
      <c r="K12" s="2" t="n">
        <v>20</v>
      </c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3</v>
      </c>
      <c r="E13" s="2" t="s">
        <v>34</v>
      </c>
      <c r="F13" s="2" t="s">
        <v>31</v>
      </c>
      <c r="G13" s="2" t="s">
        <v>32</v>
      </c>
      <c r="H13" s="2" t="s">
        <v>33</v>
      </c>
      <c r="I13" s="2" t="s">
        <v>25</v>
      </c>
      <c r="J13" s="2" t="n">
        <v>9.3</v>
      </c>
      <c r="K13" s="2" t="n">
        <v>22</v>
      </c>
    </row>
    <row r="14" customFormat="false" ht="15" hidden="false" customHeight="false" outlineLevel="0" collapsed="false">
      <c r="A14" s="2" t="s">
        <v>20</v>
      </c>
      <c r="B14" s="2" t="n">
        <v>2</v>
      </c>
      <c r="C14" s="9" t="n">
        <v>46264</v>
      </c>
      <c r="D14" s="2" t="n">
        <v>4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2" t="n">
        <v>7.76</v>
      </c>
      <c r="K14" s="2" t="n">
        <v>1</v>
      </c>
    </row>
    <row r="15" customFormat="false" ht="15" hidden="false" customHeight="false" outlineLevel="0" collapsed="false">
      <c r="A15" s="2"/>
      <c r="B15" s="2"/>
      <c r="C15" s="9"/>
      <c r="D15" s="2"/>
      <c r="E15" s="2"/>
      <c r="F15" s="2"/>
      <c r="G15" s="2"/>
      <c r="H15" s="2"/>
      <c r="I15" s="2"/>
      <c r="J15" s="20" t="n">
        <f aca="false">AVERAGE(J11:J14)</f>
        <v>31.02</v>
      </c>
      <c r="K15" s="10" t="n">
        <f aca="false">AVERAGE(K11:K14)</f>
        <v>11</v>
      </c>
      <c r="L15" s="8" t="s">
        <v>40</v>
      </c>
      <c r="M15" s="1" t="s">
        <v>41</v>
      </c>
    </row>
    <row r="16" customFormat="false" ht="15" hidden="false" customHeight="false" outlineLevel="0" collapsed="false">
      <c r="A16" s="2"/>
      <c r="B16" s="2"/>
      <c r="C16" s="9"/>
      <c r="D16" s="2"/>
      <c r="E16" s="2"/>
      <c r="F16" s="2"/>
      <c r="G16" s="2"/>
      <c r="H16" s="2"/>
      <c r="I16" s="2"/>
      <c r="J16" s="20" t="n">
        <f aca="false">STDEV(J11:J14)/SQRT(COUNT(J11:J14))</f>
        <v>22.4943933755355</v>
      </c>
      <c r="K16" s="10" t="n">
        <f aca="false">STDEV(K11:K14)/SQRT(COUNT(K11:K14))</f>
        <v>5.78791845139511</v>
      </c>
      <c r="L16" s="11" t="s">
        <v>42</v>
      </c>
      <c r="M16" s="1" t="s">
        <v>43</v>
      </c>
    </row>
    <row r="17" customFormat="false" ht="15" hidden="false" customHeight="false" outlineLevel="0" collapsed="false">
      <c r="A17" s="2"/>
      <c r="B17" s="2"/>
      <c r="C17" s="9"/>
      <c r="D17" s="2"/>
      <c r="E17" s="2"/>
      <c r="F17" s="2"/>
      <c r="G17" s="2"/>
      <c r="H17" s="2"/>
      <c r="I17" s="2"/>
      <c r="J17" s="20" t="n">
        <f aca="false">_xlfn.T.INV.2T(0.05,(COUNT(J11:J14)-1))*J16</f>
        <v>96.7855630613059</v>
      </c>
      <c r="K17" s="10" t="n">
        <f aca="false">_xlfn.T.INV.2T(0.05,(COUNT(K11:K14)-1))*K16</f>
        <v>18.4197396909258</v>
      </c>
      <c r="L17" s="8" t="s">
        <v>44</v>
      </c>
      <c r="M17" s="1" t="s">
        <v>45</v>
      </c>
    </row>
    <row r="18" customFormat="false" ht="15" hidden="false" customHeight="false" outlineLevel="0" collapsed="false">
      <c r="A18" s="2"/>
      <c r="B18" s="2"/>
      <c r="C18" s="9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 t="s">
        <v>20</v>
      </c>
      <c r="B19" s="2" t="n">
        <v>3</v>
      </c>
      <c r="C19" s="9" t="n">
        <v>46265</v>
      </c>
      <c r="D19" s="2" t="n">
        <v>1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n">
        <v>1.4</v>
      </c>
      <c r="K19" s="2" t="n">
        <v>0</v>
      </c>
    </row>
    <row r="20" customFormat="false" ht="15" hidden="false" customHeight="false" outlineLevel="0" collapsed="false">
      <c r="A20" s="2" t="s">
        <v>20</v>
      </c>
      <c r="B20" s="2" t="n">
        <v>3</v>
      </c>
      <c r="C20" s="9" t="n">
        <v>46265</v>
      </c>
      <c r="D20" s="2" t="n">
        <v>2</v>
      </c>
      <c r="E20" s="2" t="s">
        <v>26</v>
      </c>
      <c r="F20" s="2" t="s">
        <v>30</v>
      </c>
      <c r="G20" s="2" t="s">
        <v>28</v>
      </c>
      <c r="H20" s="2" t="s">
        <v>27</v>
      </c>
      <c r="I20" s="2" t="s">
        <v>29</v>
      </c>
      <c r="J20" s="2" t="n">
        <v>12.2</v>
      </c>
      <c r="K20" s="2" t="n">
        <v>9</v>
      </c>
    </row>
    <row r="21" customFormat="false" ht="15" hidden="false" customHeight="false" outlineLevel="0" collapsed="false">
      <c r="A21" s="2" t="s">
        <v>20</v>
      </c>
      <c r="B21" s="2" t="n">
        <v>3</v>
      </c>
      <c r="C21" s="9" t="n">
        <v>46265</v>
      </c>
      <c r="D21" s="2" t="n">
        <v>3</v>
      </c>
      <c r="E21" s="2" t="s">
        <v>34</v>
      </c>
      <c r="F21" s="2" t="s">
        <v>31</v>
      </c>
      <c r="G21" s="2" t="s">
        <v>32</v>
      </c>
      <c r="H21" s="2" t="s">
        <v>33</v>
      </c>
      <c r="I21" s="2" t="s">
        <v>25</v>
      </c>
      <c r="J21" s="2" t="n">
        <v>60</v>
      </c>
      <c r="K21" s="2" t="n">
        <v>29</v>
      </c>
    </row>
    <row r="22" customFormat="false" ht="15" hidden="false" customHeight="false" outlineLevel="0" collapsed="false">
      <c r="A22" s="2" t="s">
        <v>20</v>
      </c>
      <c r="B22" s="2" t="n">
        <v>3</v>
      </c>
      <c r="C22" s="9" t="n">
        <v>46265</v>
      </c>
      <c r="D22" s="2" t="n">
        <v>4</v>
      </c>
      <c r="E22" s="2" t="s">
        <v>35</v>
      </c>
      <c r="F22" s="2" t="s">
        <v>36</v>
      </c>
      <c r="G22" s="2" t="s">
        <v>37</v>
      </c>
      <c r="H22" s="2" t="s">
        <v>38</v>
      </c>
      <c r="I22" s="2" t="s">
        <v>39</v>
      </c>
      <c r="J22" s="2" t="n">
        <v>2</v>
      </c>
      <c r="K22" s="2" t="n">
        <v>5</v>
      </c>
    </row>
    <row r="23" customFormat="false" ht="15" hidden="false" customHeight="false" outlineLevel="0" collapsed="false">
      <c r="A23" s="2"/>
      <c r="B23" s="2"/>
      <c r="C23" s="9"/>
      <c r="D23" s="2"/>
      <c r="E23" s="2"/>
      <c r="F23" s="2"/>
      <c r="G23" s="2"/>
      <c r="H23" s="2"/>
      <c r="I23" s="2"/>
      <c r="J23" s="20" t="n">
        <f aca="false">AVERAGE(J19:J22)</f>
        <v>18.9</v>
      </c>
      <c r="K23" s="10" t="n">
        <f aca="false">AVERAGE(K19:K22)</f>
        <v>10.75</v>
      </c>
      <c r="L23" s="8" t="s">
        <v>40</v>
      </c>
      <c r="M23" s="1" t="s">
        <v>41</v>
      </c>
    </row>
    <row r="24" customFormat="false" ht="15" hidden="false" customHeight="false" outlineLevel="0" collapsed="false">
      <c r="A24" s="2"/>
      <c r="B24" s="2"/>
      <c r="C24" s="9"/>
      <c r="D24" s="2"/>
      <c r="E24" s="2"/>
      <c r="F24" s="2"/>
      <c r="G24" s="2"/>
      <c r="H24" s="2"/>
      <c r="I24" s="2"/>
      <c r="J24" s="20" t="n">
        <f aca="false">STDEV(J19:J22)/SQRT(COUNT(J19:J22))</f>
        <v>13.9222842953303</v>
      </c>
      <c r="K24" s="10" t="n">
        <f aca="false">STDEV(K19:K22)/SQRT(COUNT(K19:K22))</f>
        <v>6.35577165522278</v>
      </c>
      <c r="L24" s="11" t="s">
        <v>42</v>
      </c>
      <c r="M24" s="1" t="s">
        <v>43</v>
      </c>
    </row>
    <row r="25" customFormat="false" ht="15" hidden="false" customHeight="false" outlineLevel="0" collapsed="false">
      <c r="A25" s="2"/>
      <c r="B25" s="2"/>
      <c r="C25" s="9"/>
      <c r="D25" s="2"/>
      <c r="E25" s="2"/>
      <c r="F25" s="2"/>
      <c r="G25" s="2"/>
      <c r="H25" s="2"/>
      <c r="I25" s="2"/>
      <c r="J25" s="20" t="n">
        <f aca="false">_xlfn.T.INV.2T(0.05,(COUNT(J19:J22)-1))*J24</f>
        <v>44.3069222167833</v>
      </c>
      <c r="K25" s="10" t="n">
        <f aca="false">_xlfn.T.INV.2T(0.05,(COUNT(K19:K22)-1))*K24</f>
        <v>20.2269020213907</v>
      </c>
      <c r="L25" s="8" t="s">
        <v>44</v>
      </c>
      <c r="M25" s="1" t="s">
        <v>45</v>
      </c>
    </row>
    <row r="26" customFormat="false" ht="15" hidden="false" customHeight="false" outlineLevel="0" collapsed="false">
      <c r="A26" s="2"/>
      <c r="B26" s="2"/>
      <c r="C26" s="9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 t="s">
        <v>20</v>
      </c>
      <c r="B27" s="2" t="n">
        <v>4</v>
      </c>
      <c r="C27" s="9" t="n">
        <v>46265</v>
      </c>
      <c r="D27" s="2" t="n">
        <v>1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2" t="n">
        <v>33.3</v>
      </c>
      <c r="K27" s="2" t="n">
        <v>43.5</v>
      </c>
    </row>
    <row r="28" customFormat="false" ht="15" hidden="false" customHeight="false" outlineLevel="0" collapsed="false">
      <c r="A28" s="2" t="s">
        <v>20</v>
      </c>
      <c r="B28" s="2" t="n">
        <v>4</v>
      </c>
      <c r="C28" s="9" t="n">
        <v>46265</v>
      </c>
      <c r="D28" s="2" t="n">
        <v>2</v>
      </c>
      <c r="E28" s="2" t="s">
        <v>26</v>
      </c>
      <c r="F28" s="2" t="s">
        <v>30</v>
      </c>
      <c r="G28" s="2" t="s">
        <v>28</v>
      </c>
      <c r="H28" s="2" t="s">
        <v>27</v>
      </c>
      <c r="I28" s="2" t="s">
        <v>29</v>
      </c>
      <c r="J28" s="2" t="n">
        <v>42.6</v>
      </c>
      <c r="K28" s="2" t="n">
        <v>76</v>
      </c>
    </row>
    <row r="29" customFormat="false" ht="15" hidden="false" customHeight="false" outlineLevel="0" collapsed="false">
      <c r="A29" s="2" t="s">
        <v>20</v>
      </c>
      <c r="B29" s="2" t="n">
        <v>4</v>
      </c>
      <c r="C29" s="9" t="n">
        <v>46265</v>
      </c>
      <c r="D29" s="2" t="n">
        <v>3</v>
      </c>
      <c r="E29" s="2" t="s">
        <v>34</v>
      </c>
      <c r="F29" s="2" t="s">
        <v>31</v>
      </c>
      <c r="G29" s="2" t="s">
        <v>32</v>
      </c>
      <c r="H29" s="2" t="s">
        <v>33</v>
      </c>
      <c r="I29" s="2" t="s">
        <v>25</v>
      </c>
      <c r="J29" s="2" t="n">
        <v>78</v>
      </c>
      <c r="K29" s="2" t="n">
        <v>89</v>
      </c>
    </row>
    <row r="30" customFormat="false" ht="15" hidden="false" customHeight="false" outlineLevel="0" collapsed="false">
      <c r="A30" s="2" t="s">
        <v>20</v>
      </c>
      <c r="B30" s="2" t="n">
        <v>4</v>
      </c>
      <c r="C30" s="9" t="n">
        <v>46265</v>
      </c>
      <c r="D30" s="2" t="n">
        <v>4</v>
      </c>
      <c r="E30" s="2" t="s">
        <v>35</v>
      </c>
      <c r="F30" s="2" t="s">
        <v>36</v>
      </c>
      <c r="G30" s="2" t="s">
        <v>37</v>
      </c>
      <c r="H30" s="2" t="s">
        <v>38</v>
      </c>
      <c r="I30" s="2" t="s">
        <v>39</v>
      </c>
      <c r="J30" s="2" t="n">
        <v>54.8</v>
      </c>
      <c r="K30" s="2" t="n">
        <v>100</v>
      </c>
    </row>
    <row r="31" customFormat="false" ht="15" hidden="false" customHeight="false" outlineLevel="0" collapsed="false">
      <c r="J31" s="20" t="n">
        <f aca="false">AVERAGE(J27:J30)</f>
        <v>52.175</v>
      </c>
      <c r="K31" s="10" t="n">
        <f aca="false">AVERAGE(K27:K30)</f>
        <v>77.125</v>
      </c>
      <c r="L31" s="8" t="s">
        <v>40</v>
      </c>
      <c r="M31" s="1" t="s">
        <v>41</v>
      </c>
    </row>
    <row r="32" customFormat="false" ht="15" hidden="false" customHeight="false" outlineLevel="0" collapsed="false">
      <c r="J32" s="20" t="n">
        <f aca="false">STDEV(J27:J30)/SQRT(COUNT(J27:J30))</f>
        <v>9.66853789360108</v>
      </c>
      <c r="K32" s="10" t="n">
        <f aca="false">STDEV(K27:K30)/SQRT(COUNT(K27:K30))</f>
        <v>12.2344714502371</v>
      </c>
      <c r="L32" s="11" t="s">
        <v>42</v>
      </c>
      <c r="M32" s="1" t="s">
        <v>43</v>
      </c>
    </row>
    <row r="33" customFormat="false" ht="15" hidden="false" customHeight="false" outlineLevel="0" collapsed="false">
      <c r="J33" s="20" t="n">
        <f aca="false">_xlfn.T.INV.2T(0.05,(COUNT(J27:J30)-1))*J32</f>
        <v>30.7696026969863</v>
      </c>
      <c r="K33" s="10" t="n">
        <f aca="false">_xlfn.T.INV.2T(0.05,(COUNT(K27:K30)-1))*K32</f>
        <v>38.9355484639061</v>
      </c>
      <c r="L33" s="8" t="s">
        <v>44</v>
      </c>
      <c r="M33" s="1" t="s">
        <v>45</v>
      </c>
    </row>
  </sheetData>
  <mergeCells count="1">
    <mergeCell ref="J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1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H3" activeCellId="0" sqref="AH3"/>
    </sheetView>
  </sheetViews>
  <sheetFormatPr defaultColWidth="11.00390625" defaultRowHeight="15" zeroHeight="false" outlineLevelRow="0" outlineLevelCol="0"/>
  <cols>
    <col collapsed="false" customWidth="true" hidden="false" outlineLevel="0" max="8" min="5" style="0" width="16.16"/>
    <col collapsed="false" customWidth="true" hidden="false" outlineLevel="0" max="9" min="9" style="0" width="19.51"/>
    <col collapsed="false" customWidth="true" hidden="false" outlineLevel="0" max="34" min="34" style="0" width="20"/>
  </cols>
  <sheetData>
    <row r="1" customFormat="false" ht="15" hidden="false" customHeight="false" outlineLevel="0" collapsed="false">
      <c r="J1" s="8" t="s">
        <v>60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21" t="s">
        <v>61</v>
      </c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customFormat="false" ht="78.75" hidden="false" customHeight="true" outlineLevel="0" collapsed="false">
      <c r="A2" s="4" t="s">
        <v>11</v>
      </c>
      <c r="B2" s="4" t="s">
        <v>0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22" t="s">
        <v>62</v>
      </c>
      <c r="K2" s="23" t="s">
        <v>63</v>
      </c>
      <c r="L2" s="23" t="s">
        <v>64</v>
      </c>
      <c r="M2" s="23" t="s">
        <v>65</v>
      </c>
      <c r="N2" s="23" t="s">
        <v>66</v>
      </c>
      <c r="O2" s="23" t="s">
        <v>67</v>
      </c>
      <c r="P2" s="23" t="s">
        <v>68</v>
      </c>
      <c r="Q2" s="23" t="s">
        <v>69</v>
      </c>
      <c r="R2" s="23" t="s">
        <v>70</v>
      </c>
      <c r="S2" s="23" t="s">
        <v>71</v>
      </c>
      <c r="T2" s="23" t="s">
        <v>72</v>
      </c>
      <c r="U2" s="24" t="s">
        <v>73</v>
      </c>
      <c r="V2" s="25" t="s">
        <v>62</v>
      </c>
      <c r="W2" s="26" t="s">
        <v>63</v>
      </c>
      <c r="X2" s="26" t="s">
        <v>64</v>
      </c>
      <c r="Y2" s="26" t="s">
        <v>65</v>
      </c>
      <c r="Z2" s="26" t="s">
        <v>66</v>
      </c>
      <c r="AA2" s="26" t="s">
        <v>67</v>
      </c>
      <c r="AB2" s="26" t="s">
        <v>68</v>
      </c>
      <c r="AC2" s="26" t="s">
        <v>69</v>
      </c>
      <c r="AD2" s="26" t="s">
        <v>70</v>
      </c>
      <c r="AE2" s="26" t="s">
        <v>71</v>
      </c>
      <c r="AF2" s="26" t="s">
        <v>72</v>
      </c>
      <c r="AG2" s="27" t="s">
        <v>73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n">
        <v>74</v>
      </c>
      <c r="K3" s="2" t="n">
        <v>0</v>
      </c>
      <c r="L3" s="2" t="n">
        <v>0</v>
      </c>
      <c r="M3" s="2" t="n">
        <v>4.5</v>
      </c>
      <c r="N3" s="2" t="n">
        <v>0</v>
      </c>
      <c r="O3" s="2" t="n">
        <v>5</v>
      </c>
      <c r="P3" s="2" t="n">
        <v>0</v>
      </c>
      <c r="Q3" s="2" t="n">
        <v>0</v>
      </c>
      <c r="R3" s="2" t="n">
        <v>0</v>
      </c>
      <c r="S3" s="2" t="n">
        <v>14</v>
      </c>
      <c r="T3" s="2" t="n">
        <v>6.4</v>
      </c>
      <c r="U3" s="2" t="n">
        <v>4.66666666666667</v>
      </c>
      <c r="V3" s="2" t="n">
        <v>78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</v>
      </c>
      <c r="AB3" s="2" t="n">
        <v>0</v>
      </c>
      <c r="AC3" s="2" t="n">
        <v>0</v>
      </c>
      <c r="AD3" s="2" t="n">
        <v>0</v>
      </c>
      <c r="AE3" s="2" t="n">
        <v>11</v>
      </c>
      <c r="AF3" s="2" t="n">
        <v>10</v>
      </c>
      <c r="AG3" s="2" t="n">
        <v>0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2</v>
      </c>
      <c r="E4" s="2" t="s">
        <v>26</v>
      </c>
      <c r="F4" s="2" t="s">
        <v>30</v>
      </c>
      <c r="G4" s="2" t="s">
        <v>28</v>
      </c>
      <c r="H4" s="2" t="s">
        <v>27</v>
      </c>
      <c r="I4" s="2" t="s">
        <v>29</v>
      </c>
      <c r="J4" s="2" t="n">
        <v>69.8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1</v>
      </c>
      <c r="R4" s="2" t="n">
        <v>0</v>
      </c>
      <c r="S4" s="2" t="n">
        <v>24.6</v>
      </c>
      <c r="T4" s="2" t="n">
        <v>3.6</v>
      </c>
      <c r="U4" s="2" t="n">
        <v>0</v>
      </c>
      <c r="V4" s="2" t="n">
        <v>58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</v>
      </c>
      <c r="AD4" s="2" t="n">
        <v>0</v>
      </c>
      <c r="AE4" s="2" t="n">
        <v>34</v>
      </c>
      <c r="AF4" s="2" t="n">
        <v>4</v>
      </c>
      <c r="AG4" s="2" t="n">
        <v>3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3</v>
      </c>
      <c r="E5" s="2" t="s">
        <v>34</v>
      </c>
      <c r="F5" s="2" t="s">
        <v>31</v>
      </c>
      <c r="G5" s="2" t="s">
        <v>32</v>
      </c>
      <c r="H5" s="2" t="s">
        <v>33</v>
      </c>
      <c r="I5" s="2" t="s">
        <v>25</v>
      </c>
      <c r="J5" s="2" t="n">
        <v>73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14</v>
      </c>
      <c r="T5" s="2" t="n">
        <v>4</v>
      </c>
      <c r="U5" s="2" t="n">
        <v>9</v>
      </c>
      <c r="V5" s="2" t="n">
        <v>87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5</v>
      </c>
      <c r="AF5" s="2" t="n">
        <v>3</v>
      </c>
      <c r="AG5" s="2" t="n">
        <v>5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n">
        <v>78</v>
      </c>
      <c r="K6" s="2" t="n">
        <v>0.2</v>
      </c>
      <c r="L6" s="2" t="n">
        <v>0</v>
      </c>
      <c r="M6" s="2" t="n">
        <v>0</v>
      </c>
      <c r="N6" s="2" t="n">
        <v>0</v>
      </c>
      <c r="O6" s="2" t="n">
        <v>0.2</v>
      </c>
      <c r="P6" s="2" t="n">
        <v>0</v>
      </c>
      <c r="Q6" s="2" t="n">
        <v>0</v>
      </c>
      <c r="R6" s="2" t="n">
        <v>0</v>
      </c>
      <c r="S6" s="2" t="n">
        <v>11</v>
      </c>
      <c r="T6" s="2" t="n">
        <v>5.4</v>
      </c>
      <c r="U6" s="2" t="n">
        <v>5.2</v>
      </c>
      <c r="V6" s="2" t="n">
        <v>40.1606425702811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1.60642570281125</v>
      </c>
      <c r="AB6" s="2" t="n">
        <v>0</v>
      </c>
      <c r="AC6" s="2" t="n">
        <v>0</v>
      </c>
      <c r="AD6" s="2" t="n">
        <v>0</v>
      </c>
      <c r="AE6" s="2" t="n">
        <v>39.7590361445783</v>
      </c>
      <c r="AF6" s="2" t="n">
        <v>14.0562248995984</v>
      </c>
      <c r="AG6" s="2" t="n">
        <v>4.41767068273092</v>
      </c>
    </row>
    <row r="7" customFormat="false" ht="15" hidden="false" customHeight="false" outlineLevel="0" collapsed="false">
      <c r="A7" s="2"/>
      <c r="B7" s="2"/>
      <c r="C7" s="9"/>
      <c r="D7" s="2"/>
      <c r="E7" s="2"/>
      <c r="F7" s="2"/>
      <c r="G7" s="2"/>
      <c r="H7" s="28" t="s">
        <v>41</v>
      </c>
      <c r="I7" s="8" t="s">
        <v>40</v>
      </c>
      <c r="J7" s="10" t="n">
        <f aca="false">AVERAGE(J3:J6)</f>
        <v>73.7</v>
      </c>
      <c r="K7" s="10" t="n">
        <f aca="false">AVERAGE(K3:K6)</f>
        <v>0.05</v>
      </c>
      <c r="L7" s="10" t="n">
        <f aca="false">AVERAGE(L3:L6)</f>
        <v>0</v>
      </c>
      <c r="M7" s="10" t="n">
        <f aca="false">AVERAGE(M3:M6)</f>
        <v>1.125</v>
      </c>
      <c r="N7" s="10" t="n">
        <f aca="false">AVERAGE(N3:N6)</f>
        <v>0</v>
      </c>
      <c r="O7" s="10" t="n">
        <f aca="false">AVERAGE(O3:O6)</f>
        <v>1.55</v>
      </c>
      <c r="P7" s="10" t="n">
        <f aca="false">AVERAGE(P3:P6)</f>
        <v>0</v>
      </c>
      <c r="Q7" s="10" t="n">
        <f aca="false">AVERAGE(Q3:Q6)</f>
        <v>0.25</v>
      </c>
      <c r="R7" s="10" t="n">
        <f aca="false">AVERAGE(R3:R6)</f>
        <v>0</v>
      </c>
      <c r="S7" s="10" t="n">
        <f aca="false">AVERAGE(S3:S6)</f>
        <v>15.9</v>
      </c>
      <c r="T7" s="10" t="n">
        <f aca="false">AVERAGE(T3:T6)</f>
        <v>4.85</v>
      </c>
      <c r="U7" s="10" t="n">
        <f aca="false">AVERAGE(U3:U6)</f>
        <v>4.71666666666667</v>
      </c>
      <c r="V7" s="10" t="n">
        <f aca="false">AVERAGE(V3:V6)</f>
        <v>65.7901606425703</v>
      </c>
      <c r="W7" s="10" t="n">
        <f aca="false">AVERAGE(W3:W6)</f>
        <v>0</v>
      </c>
      <c r="X7" s="10" t="n">
        <f aca="false">AVERAGE(X3:X6)</f>
        <v>0</v>
      </c>
      <c r="Y7" s="10" t="n">
        <f aca="false">AVERAGE(Y3:Y6)</f>
        <v>0</v>
      </c>
      <c r="Z7" s="10" t="n">
        <f aca="false">AVERAGE(Z3:Z6)</f>
        <v>0</v>
      </c>
      <c r="AA7" s="10" t="n">
        <f aca="false">AVERAGE(AA3:AA6)</f>
        <v>0.651606425702811</v>
      </c>
      <c r="AB7" s="10" t="n">
        <f aca="false">AVERAGE(AB3:AB6)</f>
        <v>0</v>
      </c>
      <c r="AC7" s="10" t="n">
        <f aca="false">AVERAGE(AC3:AC6)</f>
        <v>0.25</v>
      </c>
      <c r="AD7" s="10" t="n">
        <f aca="false">AVERAGE(AD3:AD6)</f>
        <v>0</v>
      </c>
      <c r="AE7" s="10" t="n">
        <f aca="false">AVERAGE(AE3:AE6)</f>
        <v>22.4397590361446</v>
      </c>
      <c r="AF7" s="10" t="n">
        <f aca="false">AVERAGE(AF3:AF6)</f>
        <v>7.7640562248996</v>
      </c>
      <c r="AG7" s="10" t="n">
        <f aca="false">AVERAGE(AG3:AG6)</f>
        <v>3.10441767068273</v>
      </c>
      <c r="AH7" s="8" t="s">
        <v>40</v>
      </c>
      <c r="AI7" s="29" t="s">
        <v>41</v>
      </c>
    </row>
    <row r="8" customFormat="false" ht="15" hidden="false" customHeight="false" outlineLevel="0" collapsed="false">
      <c r="A8" s="2"/>
      <c r="B8" s="2"/>
      <c r="C8" s="9"/>
      <c r="D8" s="2"/>
      <c r="E8" s="2"/>
      <c r="F8" s="2"/>
      <c r="G8" s="2"/>
      <c r="H8" s="28" t="s">
        <v>74</v>
      </c>
      <c r="I8" s="11" t="s">
        <v>42</v>
      </c>
      <c r="J8" s="10" t="n">
        <f aca="false">STDEV(J3:J6)/SQRT(COUNT(J3:J6))</f>
        <v>1.69016764454496</v>
      </c>
      <c r="K8" s="10" t="n">
        <f aca="false">STDEV(K3:K6)/SQRT(COUNT(K3:K6))</f>
        <v>0.05</v>
      </c>
      <c r="L8" s="10" t="n">
        <f aca="false">STDEV(L3:L6)/SQRT(COUNT(L3:L6))</f>
        <v>0</v>
      </c>
      <c r="M8" s="10" t="n">
        <f aca="false">STDEV(M3:M6)/SQRT(COUNT(M3:M6))</f>
        <v>1.125</v>
      </c>
      <c r="N8" s="10" t="n">
        <f aca="false">STDEV(N3:N6)/SQRT(COUNT(N3:N6))</f>
        <v>0</v>
      </c>
      <c r="O8" s="10" t="n">
        <f aca="false">STDEV(O3:O6)/SQRT(COUNT(O3:O6))</f>
        <v>1.17011395456454</v>
      </c>
      <c r="P8" s="10" t="n">
        <f aca="false">STDEV(P3:P6)/SQRT(COUNT(P3:P6))</f>
        <v>0</v>
      </c>
      <c r="Q8" s="10" t="n">
        <f aca="false">STDEV(Q3:Q6)/SQRT(COUNT(Q3:Q6))</f>
        <v>0.25</v>
      </c>
      <c r="R8" s="10" t="n">
        <f aca="false">STDEV(R3:R6)/SQRT(COUNT(R3:R6))</f>
        <v>0</v>
      </c>
      <c r="S8" s="10" t="n">
        <f aca="false">STDEV(S3:S6)/SQRT(COUNT(S3:S6))</f>
        <v>2.98496231131986</v>
      </c>
      <c r="T8" s="10" t="n">
        <f aca="false">STDEV(T3:T6)/SQRT(COUNT(T3:T6))</f>
        <v>0.64485140407177</v>
      </c>
      <c r="U8" s="10" t="n">
        <f aca="false">STDEV(U3:U6)/SQRT(COUNT(U3:U6))</f>
        <v>1.84458667456967</v>
      </c>
      <c r="V8" s="10" t="n">
        <f aca="false">STDEV(V3:V6)/SQRT(COUNT(V3:V6))</f>
        <v>10.4741597203032</v>
      </c>
      <c r="W8" s="10" t="n">
        <f aca="false">STDEV(W3:W6)/SQRT(COUNT(W3:W6))</f>
        <v>0</v>
      </c>
      <c r="X8" s="10" t="n">
        <f aca="false">STDEV(X3:X6)/SQRT(COUNT(X3:X6))</f>
        <v>0</v>
      </c>
      <c r="Y8" s="10" t="n">
        <f aca="false">STDEV(Y3:Y6)/SQRT(COUNT(Y3:Y6))</f>
        <v>0</v>
      </c>
      <c r="Z8" s="10" t="n">
        <f aca="false">STDEV(Z3:Z6)/SQRT(COUNT(Z3:Z6))</f>
        <v>0</v>
      </c>
      <c r="AA8" s="10" t="n">
        <f aca="false">STDEV(AA3:AA6)/SQRT(COUNT(AA3:AA6))</f>
        <v>0.39604711447249</v>
      </c>
      <c r="AB8" s="10" t="n">
        <f aca="false">STDEV(AB3:AB6)/SQRT(COUNT(AB3:AB6))</f>
        <v>0</v>
      </c>
      <c r="AC8" s="10" t="n">
        <f aca="false">STDEV(AC3:AC6)/SQRT(COUNT(AC3:AC6))</f>
        <v>0.25</v>
      </c>
      <c r="AD8" s="10" t="n">
        <f aca="false">STDEV(AD3:AD6)/SQRT(COUNT(AD3:AD6))</f>
        <v>0</v>
      </c>
      <c r="AE8" s="10" t="n">
        <f aca="false">STDEV(AE3:AE6)/SQRT(COUNT(AE3:AE6))</f>
        <v>8.50788757930426</v>
      </c>
      <c r="AF8" s="10" t="n">
        <f aca="false">STDEV(AF3:AF6)/SQRT(COUNT(AF3:AF6))</f>
        <v>2.60536597196506</v>
      </c>
      <c r="AG8" s="10" t="n">
        <f aca="false">STDEV(AG3:AG6)/SQRT(COUNT(AG3:AG6))</f>
        <v>1.11677280459036</v>
      </c>
      <c r="AH8" s="11" t="s">
        <v>42</v>
      </c>
      <c r="AI8" s="29" t="s">
        <v>74</v>
      </c>
    </row>
    <row r="9" customFormat="false" ht="15" hidden="false" customHeight="false" outlineLevel="0" collapsed="false">
      <c r="A9" s="2"/>
      <c r="B9" s="2"/>
      <c r="C9" s="9"/>
      <c r="D9" s="2"/>
      <c r="E9" s="2"/>
      <c r="F9" s="2"/>
      <c r="G9" s="2"/>
      <c r="H9" s="28" t="s">
        <v>75</v>
      </c>
      <c r="I9" s="11" t="s">
        <v>44</v>
      </c>
      <c r="J9" s="10" t="n">
        <f aca="false">_xlfn.T.INV.2T(0.05,(COUNT(J3:J6)-1))*J8</f>
        <v>5.37886777569219</v>
      </c>
      <c r="K9" s="10" t="n">
        <f aca="false">_xlfn.T.INV.2T(0.05,(COUNT(K3:K6)-1))*K8</f>
        <v>0.159122315264186</v>
      </c>
      <c r="L9" s="10" t="n">
        <f aca="false">_xlfn.T.INV.2T(0.05,(COUNT(L3:L6)-1))*L8</f>
        <v>0</v>
      </c>
      <c r="M9" s="10" t="n">
        <f aca="false">_xlfn.T.INV.2T(0.05,(COUNT(M3:M6)-1))*M8</f>
        <v>3.58025209344418</v>
      </c>
      <c r="N9" s="10" t="n">
        <f aca="false">_xlfn.T.INV.2T(0.05,(COUNT(N3:N6)-1))*N8</f>
        <v>0</v>
      </c>
      <c r="O9" s="10" t="n">
        <f aca="false">_xlfn.T.INV.2T(0.05,(COUNT(O3:O6)-1))*O8</f>
        <v>3.72382483146483</v>
      </c>
      <c r="P9" s="10" t="n">
        <f aca="false">_xlfn.T.INV.2T(0.05,(COUNT(P3:P6)-1))*P8</f>
        <v>0</v>
      </c>
      <c r="Q9" s="10" t="n">
        <f aca="false">_xlfn.T.INV.2T(0.05,(COUNT(Q3:Q6)-1))*Q8</f>
        <v>0.795611576320928</v>
      </c>
      <c r="R9" s="10" t="n">
        <f aca="false">_xlfn.T.INV.2T(0.05,(COUNT(R3:R6)-1))*R8</f>
        <v>0</v>
      </c>
      <c r="S9" s="10" t="n">
        <f aca="false">_xlfn.T.INV.2T(0.05,(COUNT(S3:S6)-1))*S8</f>
        <v>9.49948227907102</v>
      </c>
      <c r="T9" s="10" t="n">
        <f aca="false">_xlfn.T.INV.2T(0.05,(COUNT(T3:T6)-1))*T8</f>
        <v>2.05220496834522</v>
      </c>
      <c r="U9" s="10" t="n">
        <f aca="false">_xlfn.T.INV.2T(0.05,(COUNT(U3:U6)-1))*U8</f>
        <v>5.87029804725982</v>
      </c>
      <c r="V9" s="10" t="n">
        <f aca="false">_xlfn.T.INV.2T(0.05,(COUNT(V3:V6)-1))*V8</f>
        <v>33.3334509028304</v>
      </c>
      <c r="W9" s="10" t="n">
        <f aca="false">_xlfn.T.INV.2T(0.05,(COUNT(W3:W6)-1))*W8</f>
        <v>0</v>
      </c>
      <c r="X9" s="10" t="n">
        <f aca="false">_xlfn.T.INV.2T(0.05,(COUNT(X3:X6)-1))*X8</f>
        <v>0</v>
      </c>
      <c r="Y9" s="10" t="n">
        <f aca="false">_xlfn.T.INV.2T(0.05,(COUNT(Y3:Y6)-1))*Y8</f>
        <v>0</v>
      </c>
      <c r="Z9" s="10" t="n">
        <f aca="false">_xlfn.T.INV.2T(0.05,(COUNT(Z3:Z6)-1))*Z8</f>
        <v>0</v>
      </c>
      <c r="AA9" s="10" t="n">
        <f aca="false">_xlfn.T.INV.2T(0.05,(COUNT(AA3:AA6)-1))*AA8</f>
        <v>1.26039867617125</v>
      </c>
      <c r="AB9" s="10" t="n">
        <f aca="false">_xlfn.T.INV.2T(0.05,(COUNT(AB3:AB6)-1))*AB8</f>
        <v>0</v>
      </c>
      <c r="AC9" s="10" t="n">
        <f aca="false">_xlfn.T.INV.2T(0.05,(COUNT(AC3:AC6)-1))*AC8</f>
        <v>0.795611576320928</v>
      </c>
      <c r="AD9" s="10" t="n">
        <f aca="false">_xlfn.T.INV.2T(0.05,(COUNT(AD3:AD6)-1))*AD8</f>
        <v>0</v>
      </c>
      <c r="AE9" s="10" t="n">
        <f aca="false">_xlfn.T.INV.2T(0.05,(COUNT(AE3:AE6)-1))*AE8</f>
        <v>27.075895392526</v>
      </c>
      <c r="AF9" s="10" t="n">
        <f aca="false">_xlfn.T.INV.2T(0.05,(COUNT(AF3:AF6)-1))*AF8</f>
        <v>8.2914373113921</v>
      </c>
      <c r="AG9" s="10" t="n">
        <f aca="false">_xlfn.T.INV.2T(0.05,(COUNT(AG3:AG6)-1))*AG8</f>
        <v>3.55406948580993</v>
      </c>
      <c r="AH9" s="11" t="s">
        <v>44</v>
      </c>
      <c r="AI9" s="29" t="s">
        <v>75</v>
      </c>
    </row>
    <row r="10" customFormat="false" ht="15" hidden="false" customHeight="false" outlineLevel="0" collapsed="false">
      <c r="A10" s="2"/>
      <c r="B10" s="2"/>
      <c r="C10" s="9"/>
      <c r="D10" s="2"/>
      <c r="E10" s="2"/>
      <c r="F10" s="2"/>
      <c r="G10" s="2"/>
      <c r="H10" s="28" t="s">
        <v>76</v>
      </c>
      <c r="I10" s="8" t="s">
        <v>77</v>
      </c>
      <c r="J10" s="10" t="n">
        <f aca="false">J7+J9</f>
        <v>79.0788677756922</v>
      </c>
      <c r="K10" s="10" t="n">
        <f aca="false">K7+K9</f>
        <v>0.209122315264186</v>
      </c>
      <c r="L10" s="10" t="n">
        <f aca="false">L7+L9</f>
        <v>0</v>
      </c>
      <c r="M10" s="10" t="n">
        <f aca="false">M7+M9</f>
        <v>4.70525209344418</v>
      </c>
      <c r="N10" s="10" t="n">
        <f aca="false">N7+N9</f>
        <v>0</v>
      </c>
      <c r="O10" s="10" t="n">
        <f aca="false">O7+O9</f>
        <v>5.27382483146483</v>
      </c>
      <c r="P10" s="10" t="n">
        <f aca="false">P7+P9</f>
        <v>0</v>
      </c>
      <c r="Q10" s="10" t="n">
        <f aca="false">Q7+Q9</f>
        <v>1.04561157632093</v>
      </c>
      <c r="R10" s="10" t="n">
        <f aca="false">R7+R9</f>
        <v>0</v>
      </c>
      <c r="S10" s="10" t="n">
        <f aca="false">S7+S9</f>
        <v>25.399482279071</v>
      </c>
      <c r="T10" s="10" t="n">
        <f aca="false">T7+T9</f>
        <v>6.90220496834522</v>
      </c>
      <c r="U10" s="10" t="n">
        <f aca="false">U7+U9</f>
        <v>10.5869647139265</v>
      </c>
      <c r="V10" s="10" t="n">
        <f aca="false">V7+V9</f>
        <v>99.1236115454007</v>
      </c>
      <c r="W10" s="10" t="n">
        <f aca="false">W7+W9</f>
        <v>0</v>
      </c>
      <c r="X10" s="10" t="n">
        <f aca="false">X7+X9</f>
        <v>0</v>
      </c>
      <c r="Y10" s="10" t="n">
        <f aca="false">Y7+Y9</f>
        <v>0</v>
      </c>
      <c r="Z10" s="10" t="n">
        <f aca="false">Z7+Z9</f>
        <v>0</v>
      </c>
      <c r="AA10" s="10" t="n">
        <f aca="false">AA7+AA9</f>
        <v>1.91200510187406</v>
      </c>
      <c r="AB10" s="10" t="n">
        <f aca="false">AB7+AB9</f>
        <v>0</v>
      </c>
      <c r="AC10" s="10" t="n">
        <f aca="false">AC7+AC9</f>
        <v>1.04561157632093</v>
      </c>
      <c r="AD10" s="10" t="n">
        <f aca="false">AD7+AD9</f>
        <v>0</v>
      </c>
      <c r="AE10" s="10" t="n">
        <f aca="false">AE7+AE9</f>
        <v>49.5156544286706</v>
      </c>
      <c r="AF10" s="10" t="n">
        <f aca="false">AF7+AF9</f>
        <v>16.0554935362917</v>
      </c>
      <c r="AG10" s="10" t="n">
        <f aca="false">AG7+AG9</f>
        <v>6.65848715649266</v>
      </c>
      <c r="AH10" s="8" t="s">
        <v>77</v>
      </c>
      <c r="AI10" s="29" t="s">
        <v>76</v>
      </c>
    </row>
    <row r="11" customFormat="false" ht="15" hidden="false" customHeight="false" outlineLevel="0" collapsed="false">
      <c r="A11" s="2"/>
      <c r="B11" s="2"/>
      <c r="C11" s="9"/>
      <c r="D11" s="2"/>
      <c r="E11" s="2"/>
      <c r="F11" s="2"/>
      <c r="G11" s="2"/>
      <c r="H11" s="28" t="s">
        <v>78</v>
      </c>
      <c r="I11" s="8" t="s">
        <v>79</v>
      </c>
      <c r="J11" s="10" t="n">
        <f aca="false">J7-J9</f>
        <v>68.3211322243078</v>
      </c>
      <c r="K11" s="10" t="n">
        <f aca="false">K7-K9</f>
        <v>-0.109122315264186</v>
      </c>
      <c r="L11" s="10" t="n">
        <f aca="false">L7-L9</f>
        <v>0</v>
      </c>
      <c r="M11" s="10" t="n">
        <f aca="false">M7-M9</f>
        <v>-2.45525209344418</v>
      </c>
      <c r="N11" s="10" t="n">
        <f aca="false">N7-N9</f>
        <v>0</v>
      </c>
      <c r="O11" s="10" t="n">
        <f aca="false">O7-O9</f>
        <v>-2.17382483146483</v>
      </c>
      <c r="P11" s="10" t="n">
        <f aca="false">P7-P9</f>
        <v>0</v>
      </c>
      <c r="Q11" s="10" t="n">
        <f aca="false">Q7-Q9</f>
        <v>-0.545611576320928</v>
      </c>
      <c r="R11" s="10" t="n">
        <f aca="false">R7-R9</f>
        <v>0</v>
      </c>
      <c r="S11" s="10" t="n">
        <f aca="false">S7-S9</f>
        <v>6.40051772092899</v>
      </c>
      <c r="T11" s="10" t="n">
        <f aca="false">T7-T9</f>
        <v>2.79779503165478</v>
      </c>
      <c r="U11" s="10" t="n">
        <f aca="false">U7-U9</f>
        <v>-1.15363138059315</v>
      </c>
      <c r="V11" s="10" t="n">
        <f aca="false">V7-V9</f>
        <v>32.4567097397399</v>
      </c>
      <c r="W11" s="10" t="n">
        <f aca="false">W7-W9</f>
        <v>0</v>
      </c>
      <c r="X11" s="10" t="n">
        <f aca="false">X7-X9</f>
        <v>0</v>
      </c>
      <c r="Y11" s="10" t="n">
        <f aca="false">Y7-Y9</f>
        <v>0</v>
      </c>
      <c r="Z11" s="10" t="n">
        <f aca="false">Z7-Z9</f>
        <v>0</v>
      </c>
      <c r="AA11" s="10" t="n">
        <f aca="false">AA7-AA9</f>
        <v>-0.60879225046844</v>
      </c>
      <c r="AB11" s="10" t="n">
        <f aca="false">AB7-AB9</f>
        <v>0</v>
      </c>
      <c r="AC11" s="10" t="n">
        <f aca="false">AC7-AC9</f>
        <v>-0.545611576320928</v>
      </c>
      <c r="AD11" s="10" t="n">
        <f aca="false">AD7-AD9</f>
        <v>0</v>
      </c>
      <c r="AE11" s="10" t="n">
        <f aca="false">AE7-AE9</f>
        <v>-4.63613635638143</v>
      </c>
      <c r="AF11" s="10" t="n">
        <f aca="false">AF7-AF9</f>
        <v>-0.527381086492499</v>
      </c>
      <c r="AG11" s="10" t="n">
        <f aca="false">AG7-AG9</f>
        <v>-0.449651815127202</v>
      </c>
      <c r="AH11" s="8" t="s">
        <v>79</v>
      </c>
      <c r="AI11" s="29" t="s">
        <v>78</v>
      </c>
    </row>
    <row r="12" customFormat="false" ht="15" hidden="false" customHeight="false" outlineLevel="0" collapsed="false">
      <c r="A12" s="2"/>
      <c r="B12" s="2"/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1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2" t="n">
        <v>25</v>
      </c>
      <c r="K13" s="2" t="n">
        <v>0</v>
      </c>
      <c r="L13" s="2" t="n">
        <v>0</v>
      </c>
      <c r="M13" s="2" t="n">
        <v>0</v>
      </c>
      <c r="N13" s="2" t="n">
        <v>10</v>
      </c>
      <c r="O13" s="2" t="n">
        <v>20</v>
      </c>
      <c r="P13" s="2" t="n">
        <v>1.75</v>
      </c>
      <c r="Q13" s="2" t="n">
        <v>0</v>
      </c>
      <c r="R13" s="2" t="n">
        <v>0</v>
      </c>
      <c r="S13" s="2" t="n">
        <v>63.3</v>
      </c>
      <c r="T13" s="2" t="n">
        <v>12.5</v>
      </c>
      <c r="U13" s="2" t="n">
        <v>0</v>
      </c>
      <c r="V13" s="2" t="n">
        <v>24.2424242424242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1.01010101010101</v>
      </c>
      <c r="AB13" s="2" t="n">
        <v>3.03030303030303</v>
      </c>
      <c r="AC13" s="2" t="n">
        <v>0</v>
      </c>
      <c r="AD13" s="2" t="n">
        <v>0</v>
      </c>
      <c r="AE13" s="2" t="n">
        <v>45.4545454545455</v>
      </c>
      <c r="AF13" s="2" t="n">
        <v>24.7474747474748</v>
      </c>
      <c r="AG13" s="2" t="n">
        <v>1.51515151515152</v>
      </c>
    </row>
    <row r="14" customFormat="false" ht="15" hidden="false" customHeight="false" outlineLevel="0" collapsed="false">
      <c r="A14" s="2" t="s">
        <v>20</v>
      </c>
      <c r="B14" s="2" t="n">
        <v>2</v>
      </c>
      <c r="C14" s="9" t="n">
        <v>46264</v>
      </c>
      <c r="D14" s="2" t="n">
        <v>2</v>
      </c>
      <c r="E14" s="2" t="s">
        <v>26</v>
      </c>
      <c r="F14" s="2" t="s">
        <v>30</v>
      </c>
      <c r="G14" s="2" t="s">
        <v>28</v>
      </c>
      <c r="H14" s="2" t="s">
        <v>27</v>
      </c>
      <c r="I14" s="2" t="s">
        <v>29</v>
      </c>
      <c r="J14" s="2" t="n">
        <v>10.6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0.2</v>
      </c>
      <c r="P14" s="2" t="n">
        <v>8</v>
      </c>
      <c r="Q14" s="2" t="n">
        <v>0</v>
      </c>
      <c r="R14" s="2" t="n">
        <v>0</v>
      </c>
      <c r="S14" s="2" t="n">
        <v>66.6</v>
      </c>
      <c r="T14" s="2" t="n">
        <v>14.6</v>
      </c>
      <c r="U14" s="2" t="n">
        <v>0</v>
      </c>
      <c r="V14" s="2" t="n">
        <v>7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3</v>
      </c>
      <c r="AC14" s="2" t="n">
        <v>0</v>
      </c>
      <c r="AD14" s="2" t="n">
        <v>0</v>
      </c>
      <c r="AE14" s="2" t="n">
        <v>73</v>
      </c>
      <c r="AF14" s="2" t="n">
        <v>17</v>
      </c>
      <c r="AG14" s="2" t="n">
        <v>0</v>
      </c>
    </row>
    <row r="15" customFormat="false" ht="15" hidden="false" customHeight="false" outlineLevel="0" collapsed="false">
      <c r="A15" s="2" t="s">
        <v>20</v>
      </c>
      <c r="B15" s="2" t="n">
        <v>2</v>
      </c>
      <c r="C15" s="9" t="n">
        <v>46264</v>
      </c>
      <c r="D15" s="2" t="n">
        <v>3</v>
      </c>
      <c r="E15" s="2" t="s">
        <v>34</v>
      </c>
      <c r="F15" s="2" t="s">
        <v>31</v>
      </c>
      <c r="G15" s="2" t="s">
        <v>32</v>
      </c>
      <c r="H15" s="2" t="s">
        <v>33</v>
      </c>
      <c r="I15" s="2" t="s">
        <v>25</v>
      </c>
      <c r="J15" s="2" t="n">
        <v>27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66</v>
      </c>
      <c r="T15" s="2" t="n">
        <v>7</v>
      </c>
      <c r="U15" s="2" t="n">
        <v>0</v>
      </c>
      <c r="V15" s="2" t="n">
        <v>19.6261682242991</v>
      </c>
      <c r="W15" s="2" t="n">
        <v>0</v>
      </c>
      <c r="X15" s="2" t="n">
        <v>0</v>
      </c>
      <c r="Y15" s="2" t="n">
        <v>0</v>
      </c>
      <c r="Z15" s="2" t="n">
        <v>0.934579439252336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72.8971962616822</v>
      </c>
      <c r="AF15" s="2" t="n">
        <v>5.60747663551402</v>
      </c>
      <c r="AG15" s="2" t="n">
        <v>0.934579439252336</v>
      </c>
    </row>
    <row r="16" customFormat="false" ht="15" hidden="false" customHeight="false" outlineLevel="0" collapsed="false">
      <c r="A16" s="2" t="s">
        <v>20</v>
      </c>
      <c r="B16" s="2" t="n">
        <v>2</v>
      </c>
      <c r="C16" s="9" t="n">
        <v>46264</v>
      </c>
      <c r="D16" s="2" t="n">
        <v>4</v>
      </c>
      <c r="E16" s="2" t="s">
        <v>35</v>
      </c>
      <c r="F16" s="2" t="s">
        <v>36</v>
      </c>
      <c r="G16" s="2" t="s">
        <v>37</v>
      </c>
      <c r="H16" s="2" t="s">
        <v>38</v>
      </c>
      <c r="I16" s="2" t="s">
        <v>39</v>
      </c>
      <c r="J16" s="2" t="n">
        <v>16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0.8</v>
      </c>
      <c r="P16" s="2" t="n">
        <v>0</v>
      </c>
      <c r="Q16" s="2" t="n">
        <v>0</v>
      </c>
      <c r="R16" s="2" t="n">
        <v>0</v>
      </c>
      <c r="S16" s="2" t="n">
        <v>72.8</v>
      </c>
      <c r="T16" s="2" t="n">
        <v>8</v>
      </c>
      <c r="U16" s="2" t="n">
        <v>2.4</v>
      </c>
      <c r="V16" s="2" t="n">
        <v>15.8730158730159</v>
      </c>
      <c r="W16" s="2" t="n">
        <v>0</v>
      </c>
      <c r="X16" s="2" t="n">
        <v>0</v>
      </c>
      <c r="Y16" s="2" t="n">
        <v>0</v>
      </c>
      <c r="Z16" s="2" t="n">
        <v>1.19047619047619</v>
      </c>
      <c r="AA16" s="2" t="n">
        <v>3.57142857142857</v>
      </c>
      <c r="AB16" s="2" t="n">
        <v>0.793650793650794</v>
      </c>
      <c r="AC16" s="2" t="n">
        <v>0.396825396825397</v>
      </c>
      <c r="AD16" s="2" t="n">
        <v>0</v>
      </c>
      <c r="AE16" s="2" t="n">
        <v>39.2857142857143</v>
      </c>
      <c r="AF16" s="2" t="n">
        <v>38.0952380952381</v>
      </c>
      <c r="AG16" s="2" t="n">
        <v>0.793650793650794</v>
      </c>
    </row>
    <row r="17" customFormat="false" ht="15" hidden="false" customHeight="false" outlineLevel="0" collapsed="false">
      <c r="A17" s="2"/>
      <c r="B17" s="2"/>
      <c r="C17" s="9"/>
      <c r="D17" s="2"/>
      <c r="E17" s="2"/>
      <c r="F17" s="2"/>
      <c r="G17" s="2"/>
      <c r="H17" s="28" t="s">
        <v>41</v>
      </c>
      <c r="I17" s="8" t="s">
        <v>40</v>
      </c>
      <c r="J17" s="10" t="n">
        <f aca="false">AVERAGE(J13:J16)</f>
        <v>19.65</v>
      </c>
      <c r="K17" s="10" t="n">
        <f aca="false">AVERAGE(K13:K16)</f>
        <v>0</v>
      </c>
      <c r="L17" s="10" t="n">
        <f aca="false">AVERAGE(L13:L16)</f>
        <v>0</v>
      </c>
      <c r="M17" s="10" t="n">
        <f aca="false">AVERAGE(M13:M16)</f>
        <v>0</v>
      </c>
      <c r="N17" s="10" t="n">
        <f aca="false">AVERAGE(N13:N16)</f>
        <v>2.5</v>
      </c>
      <c r="O17" s="10" t="n">
        <f aca="false">AVERAGE(O13:O16)</f>
        <v>5.25</v>
      </c>
      <c r="P17" s="10" t="n">
        <f aca="false">AVERAGE(P13:P16)</f>
        <v>2.4375</v>
      </c>
      <c r="Q17" s="10" t="n">
        <f aca="false">AVERAGE(Q13:Q16)</f>
        <v>0</v>
      </c>
      <c r="R17" s="10" t="n">
        <f aca="false">AVERAGE(R13:R16)</f>
        <v>0</v>
      </c>
      <c r="S17" s="10" t="n">
        <f aca="false">AVERAGE(S13:S16)</f>
        <v>67.175</v>
      </c>
      <c r="T17" s="10" t="n">
        <f aca="false">AVERAGE(T13:T16)</f>
        <v>10.525</v>
      </c>
      <c r="U17" s="10" t="n">
        <f aca="false">AVERAGE(U13:U16)</f>
        <v>0.6</v>
      </c>
      <c r="V17" s="10" t="n">
        <f aca="false">AVERAGE(V13:V16)</f>
        <v>16.6854020849348</v>
      </c>
      <c r="W17" s="10" t="n">
        <f aca="false">AVERAGE(W13:W16)</f>
        <v>0</v>
      </c>
      <c r="X17" s="10" t="n">
        <f aca="false">AVERAGE(X13:X16)</f>
        <v>0</v>
      </c>
      <c r="Y17" s="10" t="n">
        <f aca="false">AVERAGE(Y13:Y16)</f>
        <v>0</v>
      </c>
      <c r="Z17" s="10" t="n">
        <f aca="false">AVERAGE(Z13:Z16)</f>
        <v>0.531263907432132</v>
      </c>
      <c r="AA17" s="10" t="n">
        <f aca="false">AVERAGE(AA13:AA16)</f>
        <v>1.1453823953824</v>
      </c>
      <c r="AB17" s="10" t="n">
        <f aca="false">AVERAGE(AB13:AB16)</f>
        <v>1.70598845598846</v>
      </c>
      <c r="AC17" s="10" t="n">
        <f aca="false">AVERAGE(AC13:AC16)</f>
        <v>0.0992063492063492</v>
      </c>
      <c r="AD17" s="10" t="n">
        <f aca="false">AVERAGE(AD13:AD16)</f>
        <v>0</v>
      </c>
      <c r="AE17" s="10" t="n">
        <f aca="false">AVERAGE(AE13:AE16)</f>
        <v>57.6593640004855</v>
      </c>
      <c r="AF17" s="10" t="n">
        <f aca="false">AVERAGE(AF13:AF16)</f>
        <v>21.3625473695567</v>
      </c>
      <c r="AG17" s="10" t="n">
        <f aca="false">AVERAGE(AG13:AG16)</f>
        <v>0.810845437013661</v>
      </c>
      <c r="AH17" s="8" t="s">
        <v>40</v>
      </c>
      <c r="AI17" s="29" t="s">
        <v>41</v>
      </c>
    </row>
    <row r="18" customFormat="false" ht="15" hidden="false" customHeight="false" outlineLevel="0" collapsed="false">
      <c r="A18" s="2"/>
      <c r="B18" s="2"/>
      <c r="C18" s="9"/>
      <c r="D18" s="2"/>
      <c r="E18" s="2"/>
      <c r="F18" s="2"/>
      <c r="G18" s="2"/>
      <c r="H18" s="28" t="s">
        <v>74</v>
      </c>
      <c r="I18" s="11" t="s">
        <v>42</v>
      </c>
      <c r="J18" s="10" t="n">
        <f aca="false">STDEV(J13:J16)/SQRT(COUNT(J13:J16))</f>
        <v>3.85</v>
      </c>
      <c r="K18" s="10" t="n">
        <f aca="false">STDEV(K13:K16)/SQRT(COUNT(K13:K16))</f>
        <v>0</v>
      </c>
      <c r="L18" s="10" t="n">
        <f aca="false">STDEV(L13:L16)/SQRT(COUNT(L13:L16))</f>
        <v>0</v>
      </c>
      <c r="M18" s="10" t="n">
        <f aca="false">STDEV(M13:M16)/SQRT(COUNT(M13:M16))</f>
        <v>0</v>
      </c>
      <c r="N18" s="10" t="n">
        <f aca="false">STDEV(N13:N16)/SQRT(COUNT(N13:N16))</f>
        <v>2.5</v>
      </c>
      <c r="O18" s="10" t="n">
        <f aca="false">STDEV(O13:O16)/SQRT(COUNT(O13:O16))</f>
        <v>4.91960364257122</v>
      </c>
      <c r="P18" s="10" t="n">
        <f aca="false">STDEV(P13:P16)/SQRT(COUNT(P13:P16))</f>
        <v>1.89949280511053</v>
      </c>
      <c r="Q18" s="10" t="n">
        <f aca="false">STDEV(Q13:Q16)/SQRT(COUNT(Q13:Q16))</f>
        <v>0</v>
      </c>
      <c r="R18" s="10" t="n">
        <f aca="false">STDEV(R13:R16)/SQRT(COUNT(R13:R16))</f>
        <v>0</v>
      </c>
      <c r="S18" s="10" t="n">
        <f aca="false">STDEV(S13:S16)/SQRT(COUNT(S13:S16))</f>
        <v>2.00764165129139</v>
      </c>
      <c r="T18" s="10" t="n">
        <f aca="false">STDEV(T13:T16)/SQRT(COUNT(T13:T16))</f>
        <v>1.80986877977383</v>
      </c>
      <c r="U18" s="10" t="n">
        <f aca="false">STDEV(U13:U16)/SQRT(COUNT(U13:U16))</f>
        <v>0.6</v>
      </c>
      <c r="V18" s="10" t="n">
        <f aca="false">STDEV(V13:V16)/SQRT(COUNT(V13:V16))</f>
        <v>3.65403514715117</v>
      </c>
      <c r="W18" s="10" t="n">
        <f aca="false">STDEV(W13:W16)/SQRT(COUNT(W13:W16))</f>
        <v>0</v>
      </c>
      <c r="X18" s="10" t="n">
        <f aca="false">STDEV(X13:X16)/SQRT(COUNT(X13:X16))</f>
        <v>0</v>
      </c>
      <c r="Y18" s="10" t="n">
        <f aca="false">STDEV(Y13:Y16)/SQRT(COUNT(Y13:Y16))</f>
        <v>0</v>
      </c>
      <c r="Z18" s="10" t="n">
        <f aca="false">STDEV(Z13:Z16)/SQRT(COUNT(Z13:Z16))</f>
        <v>0.311141303778483</v>
      </c>
      <c r="AA18" s="10" t="n">
        <f aca="false">STDEV(AA13:AA16)/SQRT(COUNT(AA13:AA16))</f>
        <v>0.843000729775077</v>
      </c>
      <c r="AB18" s="10" t="n">
        <f aca="false">STDEV(AB13:AB16)/SQRT(COUNT(AB13:AB16))</f>
        <v>0.77303684635462</v>
      </c>
      <c r="AC18" s="10" t="n">
        <f aca="false">STDEV(AC13:AC16)/SQRT(COUNT(AC13:AC16))</f>
        <v>0.0992063492063492</v>
      </c>
      <c r="AD18" s="10" t="n">
        <f aca="false">STDEV(AD13:AD16)/SQRT(COUNT(AD13:AD16))</f>
        <v>0</v>
      </c>
      <c r="AE18" s="10" t="n">
        <f aca="false">STDEV(AE13:AE16)/SQRT(COUNT(AE13:AE16))</f>
        <v>8.91662886816164</v>
      </c>
      <c r="AF18" s="10" t="n">
        <f aca="false">STDEV(AF13:AF16)/SQRT(COUNT(AF13:AF16))</f>
        <v>6.82333462991396</v>
      </c>
      <c r="AG18" s="10" t="n">
        <f aca="false">STDEV(AG13:AG16)/SQRT(COUNT(AG13:AG16))</f>
        <v>0.312132868809926</v>
      </c>
      <c r="AH18" s="11" t="s">
        <v>42</v>
      </c>
      <c r="AI18" s="29" t="s">
        <v>74</v>
      </c>
    </row>
    <row r="19" customFormat="false" ht="15" hidden="false" customHeight="false" outlineLevel="0" collapsed="false">
      <c r="A19" s="2"/>
      <c r="B19" s="2"/>
      <c r="C19" s="9"/>
      <c r="D19" s="2"/>
      <c r="E19" s="2"/>
      <c r="F19" s="2"/>
      <c r="G19" s="2"/>
      <c r="H19" s="28" t="s">
        <v>75</v>
      </c>
      <c r="I19" s="11" t="s">
        <v>44</v>
      </c>
      <c r="J19" s="10" t="n">
        <f aca="false">_xlfn.T.INV.2T(0.05,(COUNT(J13:J16)-1))*J18</f>
        <v>12.2524182753423</v>
      </c>
      <c r="K19" s="10" t="n">
        <f aca="false">_xlfn.T.INV.2T(0.05,(COUNT(K13:K16)-1))*K18</f>
        <v>0</v>
      </c>
      <c r="L19" s="10" t="n">
        <f aca="false">_xlfn.T.INV.2T(0.05,(COUNT(L13:L16)-1))*L18</f>
        <v>0</v>
      </c>
      <c r="M19" s="10" t="n">
        <f aca="false">_xlfn.T.INV.2T(0.05,(COUNT(M13:M16)-1))*M18</f>
        <v>0</v>
      </c>
      <c r="N19" s="10" t="n">
        <f aca="false">_xlfn.T.INV.2T(0.05,(COUNT(N13:N16)-1))*N18</f>
        <v>7.95611576320928</v>
      </c>
      <c r="O19" s="10" t="n">
        <f aca="false">_xlfn.T.INV.2T(0.05,(COUNT(O13:O16)-1))*O18</f>
        <v>15.6563744357611</v>
      </c>
      <c r="P19" s="10" t="n">
        <f aca="false">_xlfn.T.INV.2T(0.05,(COUNT(P13:P16)-1))*P18</f>
        <v>6.045033859537</v>
      </c>
      <c r="Q19" s="10" t="n">
        <f aca="false">_xlfn.T.INV.2T(0.05,(COUNT(Q13:Q16)-1))*Q18</f>
        <v>0</v>
      </c>
      <c r="R19" s="10" t="n">
        <f aca="false">_xlfn.T.INV.2T(0.05,(COUNT(R13:R16)-1))*R18</f>
        <v>0</v>
      </c>
      <c r="S19" s="10" t="n">
        <f aca="false">_xlfn.T.INV.2T(0.05,(COUNT(S13:S16)-1))*S18</f>
        <v>6.38921175548596</v>
      </c>
      <c r="T19" s="10" t="n">
        <f aca="false">_xlfn.T.INV.2T(0.05,(COUNT(T13:T16)-1))*T18</f>
        <v>5.75981021123955</v>
      </c>
      <c r="U19" s="10" t="n">
        <f aca="false">_xlfn.T.INV.2T(0.05,(COUNT(U13:U16)-1))*U18</f>
        <v>1.90946778317023</v>
      </c>
      <c r="V19" s="10" t="n">
        <f aca="false">_xlfn.T.INV.2T(0.05,(COUNT(V13:V16)-1))*V18</f>
        <v>11.6287706534281</v>
      </c>
      <c r="W19" s="10" t="n">
        <f aca="false">_xlfn.T.INV.2T(0.05,(COUNT(W13:W16)-1))*W18</f>
        <v>0</v>
      </c>
      <c r="X19" s="10" t="n">
        <f aca="false">_xlfn.T.INV.2T(0.05,(COUNT(X13:X16)-1))*X18</f>
        <v>0</v>
      </c>
      <c r="Y19" s="10" t="n">
        <f aca="false">_xlfn.T.INV.2T(0.05,(COUNT(Y13:Y16)-1))*Y18</f>
        <v>0</v>
      </c>
      <c r="Z19" s="10" t="n">
        <f aca="false">_xlfn.T.INV.2T(0.05,(COUNT(Z13:Z16)-1))*Z18</f>
        <v>0.990190492630989</v>
      </c>
      <c r="AA19" s="10" t="n">
        <f aca="false">_xlfn.T.INV.2T(0.05,(COUNT(AA13:AA16)-1))*AA18</f>
        <v>2.68280455782417</v>
      </c>
      <c r="AB19" s="10" t="n">
        <f aca="false">_xlfn.T.INV.2T(0.05,(COUNT(AB13:AB16)-1))*AB18</f>
        <v>2.46014825552943</v>
      </c>
      <c r="AC19" s="10" t="n">
        <f aca="false">_xlfn.T.INV.2T(0.05,(COUNT(AC13:AC16)-1))*AC18</f>
        <v>0.315718879492432</v>
      </c>
      <c r="AD19" s="10" t="n">
        <f aca="false">_xlfn.T.INV.2T(0.05,(COUNT(AD13:AD16)-1))*AD18</f>
        <v>0</v>
      </c>
      <c r="AE19" s="10" t="n">
        <f aca="false">_xlfn.T.INV.2T(0.05,(COUNT(AE13:AE16)-1))*AE18</f>
        <v>28.3766925970671</v>
      </c>
      <c r="AF19" s="10" t="n">
        <f aca="false">_xlfn.T.INV.2T(0.05,(COUNT(AF13:AF16)-1))*AF18</f>
        <v>21.7148960826841</v>
      </c>
      <c r="AG19" s="10" t="n">
        <f aca="false">_xlfn.T.INV.2T(0.05,(COUNT(AG13:AG16)-1))*AG18</f>
        <v>0.993346095101756</v>
      </c>
      <c r="AH19" s="11" t="s">
        <v>44</v>
      </c>
      <c r="AI19" s="29" t="s">
        <v>75</v>
      </c>
    </row>
    <row r="20" customFormat="false" ht="15" hidden="false" customHeight="false" outlineLevel="0" collapsed="false">
      <c r="A20" s="2"/>
      <c r="B20" s="2"/>
      <c r="C20" s="9"/>
      <c r="D20" s="2"/>
      <c r="E20" s="2"/>
      <c r="F20" s="2"/>
      <c r="G20" s="2"/>
      <c r="H20" s="28" t="s">
        <v>76</v>
      </c>
      <c r="I20" s="8" t="s">
        <v>77</v>
      </c>
      <c r="J20" s="10" t="n">
        <f aca="false">J17+J19</f>
        <v>31.9024182753423</v>
      </c>
      <c r="K20" s="10" t="n">
        <f aca="false">K17+K19</f>
        <v>0</v>
      </c>
      <c r="L20" s="10" t="n">
        <f aca="false">L17+L19</f>
        <v>0</v>
      </c>
      <c r="M20" s="10" t="n">
        <f aca="false">M17+M19</f>
        <v>0</v>
      </c>
      <c r="N20" s="10" t="n">
        <f aca="false">N17+N19</f>
        <v>10.4561157632093</v>
      </c>
      <c r="O20" s="10" t="n">
        <f aca="false">O17+O19</f>
        <v>20.9063744357611</v>
      </c>
      <c r="P20" s="10" t="n">
        <f aca="false">P17+P19</f>
        <v>8.482533859537</v>
      </c>
      <c r="Q20" s="10" t="n">
        <f aca="false">Q17+Q19</f>
        <v>0</v>
      </c>
      <c r="R20" s="10" t="n">
        <f aca="false">R17+R19</f>
        <v>0</v>
      </c>
      <c r="S20" s="10" t="n">
        <f aca="false">S17+S19</f>
        <v>73.564211755486</v>
      </c>
      <c r="T20" s="10" t="n">
        <f aca="false">T17+T19</f>
        <v>16.2848102112396</v>
      </c>
      <c r="U20" s="10" t="n">
        <f aca="false">U17+U19</f>
        <v>2.50946778317023</v>
      </c>
      <c r="V20" s="10" t="n">
        <f aca="false">V17+V19</f>
        <v>28.3141727383629</v>
      </c>
      <c r="W20" s="10" t="n">
        <f aca="false">W17+W19</f>
        <v>0</v>
      </c>
      <c r="X20" s="10" t="n">
        <f aca="false">X17+X19</f>
        <v>0</v>
      </c>
      <c r="Y20" s="10" t="n">
        <f aca="false">Y17+Y19</f>
        <v>0</v>
      </c>
      <c r="Z20" s="10" t="n">
        <f aca="false">Z17+Z19</f>
        <v>1.52145440006312</v>
      </c>
      <c r="AA20" s="10" t="n">
        <f aca="false">AA17+AA19</f>
        <v>3.82818695320656</v>
      </c>
      <c r="AB20" s="10" t="n">
        <f aca="false">AB17+AB19</f>
        <v>4.16613671151789</v>
      </c>
      <c r="AC20" s="10" t="n">
        <f aca="false">AC17+AC19</f>
        <v>0.414925228698781</v>
      </c>
      <c r="AD20" s="10" t="n">
        <f aca="false">AD17+AD19</f>
        <v>0</v>
      </c>
      <c r="AE20" s="10" t="n">
        <f aca="false">AE17+AE19</f>
        <v>86.0360565975526</v>
      </c>
      <c r="AF20" s="10" t="n">
        <f aca="false">AF17+AF19</f>
        <v>43.0774434522408</v>
      </c>
      <c r="AG20" s="10" t="n">
        <f aca="false">AG17+AG19</f>
        <v>1.80419153211542</v>
      </c>
      <c r="AH20" s="8" t="s">
        <v>77</v>
      </c>
      <c r="AI20" s="29" t="s">
        <v>76</v>
      </c>
    </row>
    <row r="21" customFormat="false" ht="15" hidden="false" customHeight="false" outlineLevel="0" collapsed="false">
      <c r="A21" s="2"/>
      <c r="B21" s="2"/>
      <c r="C21" s="9"/>
      <c r="D21" s="2"/>
      <c r="E21" s="2"/>
      <c r="F21" s="2"/>
      <c r="G21" s="2"/>
      <c r="H21" s="28" t="s">
        <v>78</v>
      </c>
      <c r="I21" s="8" t="s">
        <v>79</v>
      </c>
      <c r="J21" s="10" t="n">
        <f aca="false">J17-J19</f>
        <v>7.39758172465771</v>
      </c>
      <c r="K21" s="10" t="n">
        <f aca="false">K17-K19</f>
        <v>0</v>
      </c>
      <c r="L21" s="10" t="n">
        <f aca="false">L17-L19</f>
        <v>0</v>
      </c>
      <c r="M21" s="10" t="n">
        <f aca="false">M17-M19</f>
        <v>0</v>
      </c>
      <c r="N21" s="10" t="n">
        <f aca="false">N17-N19</f>
        <v>-5.45611576320928</v>
      </c>
      <c r="O21" s="10" t="n">
        <f aca="false">O17-O19</f>
        <v>-10.4063744357611</v>
      </c>
      <c r="P21" s="10" t="n">
        <f aca="false">P17-P19</f>
        <v>-3.607533859537</v>
      </c>
      <c r="Q21" s="10" t="n">
        <f aca="false">Q17-Q19</f>
        <v>0</v>
      </c>
      <c r="R21" s="10" t="n">
        <f aca="false">R17-R19</f>
        <v>0</v>
      </c>
      <c r="S21" s="10" t="n">
        <f aca="false">S17-S19</f>
        <v>60.785788244514</v>
      </c>
      <c r="T21" s="10" t="n">
        <f aca="false">T17-T19</f>
        <v>4.76518978876045</v>
      </c>
      <c r="U21" s="10" t="n">
        <f aca="false">U17-U19</f>
        <v>-1.30946778317023</v>
      </c>
      <c r="V21" s="10" t="n">
        <f aca="false">V17-V19</f>
        <v>5.05663143150672</v>
      </c>
      <c r="W21" s="10" t="n">
        <f aca="false">W17-W19</f>
        <v>0</v>
      </c>
      <c r="X21" s="10" t="n">
        <f aca="false">X17-X19</f>
        <v>0</v>
      </c>
      <c r="Y21" s="10" t="n">
        <f aca="false">Y17-Y19</f>
        <v>0</v>
      </c>
      <c r="Z21" s="10" t="n">
        <f aca="false">Z17-Z19</f>
        <v>-0.458926585198857</v>
      </c>
      <c r="AA21" s="10" t="n">
        <f aca="false">AA17-AA19</f>
        <v>-1.53742216244177</v>
      </c>
      <c r="AB21" s="10" t="n">
        <f aca="false">AB17-AB19</f>
        <v>-0.754159799540977</v>
      </c>
      <c r="AC21" s="10" t="n">
        <f aca="false">AC17-AC19</f>
        <v>-0.216512530286082</v>
      </c>
      <c r="AD21" s="10" t="n">
        <f aca="false">AD17-AD19</f>
        <v>0</v>
      </c>
      <c r="AE21" s="10" t="n">
        <f aca="false">AE17-AE19</f>
        <v>29.2826714034184</v>
      </c>
      <c r="AF21" s="10" t="n">
        <f aca="false">AF17-AF19</f>
        <v>-0.352348713127373</v>
      </c>
      <c r="AG21" s="10" t="n">
        <f aca="false">AG17-AG19</f>
        <v>-0.182500658088094</v>
      </c>
      <c r="AH21" s="8" t="s">
        <v>79</v>
      </c>
      <c r="AI21" s="29" t="s">
        <v>78</v>
      </c>
    </row>
    <row r="22" customFormat="false" ht="15" hidden="false" customHeight="false" outlineLevel="0" collapsed="false">
      <c r="A22" s="2"/>
      <c r="B22" s="2"/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false" ht="15" hidden="false" customHeight="false" outlineLevel="0" collapsed="false">
      <c r="A23" s="2" t="s">
        <v>20</v>
      </c>
      <c r="B23" s="2" t="n">
        <v>3</v>
      </c>
      <c r="C23" s="9" t="n">
        <v>46265</v>
      </c>
      <c r="D23" s="2" t="n">
        <v>1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n">
        <v>0</v>
      </c>
      <c r="K23" s="2" t="n">
        <v>4</v>
      </c>
      <c r="L23" s="2" t="n">
        <v>0</v>
      </c>
      <c r="M23" s="2" t="n">
        <v>0</v>
      </c>
      <c r="N23" s="2" t="n">
        <v>6.5</v>
      </c>
      <c r="O23" s="2" t="n">
        <v>6.5</v>
      </c>
      <c r="P23" s="2" t="n">
        <v>11</v>
      </c>
      <c r="Q23" s="2" t="n">
        <v>5</v>
      </c>
      <c r="R23" s="2" t="n">
        <v>0</v>
      </c>
      <c r="S23" s="2" t="n">
        <v>65</v>
      </c>
      <c r="T23" s="2" t="n">
        <v>6</v>
      </c>
      <c r="U23" s="2" t="n">
        <v>12.5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18.5365853658537</v>
      </c>
      <c r="AA23" s="2" t="n">
        <v>8.29268292682927</v>
      </c>
      <c r="AB23" s="2" t="n">
        <v>12.6829268292683</v>
      </c>
      <c r="AC23" s="2" t="n">
        <v>0</v>
      </c>
      <c r="AD23" s="2" t="n">
        <v>0</v>
      </c>
      <c r="AE23" s="2" t="n">
        <v>48.7804878048781</v>
      </c>
      <c r="AF23" s="2" t="n">
        <v>11.7073170731707</v>
      </c>
      <c r="AG23" s="2" t="n">
        <v>0</v>
      </c>
    </row>
    <row r="24" customFormat="false" ht="15" hidden="false" customHeight="false" outlineLevel="0" collapsed="false">
      <c r="A24" s="2" t="s">
        <v>20</v>
      </c>
      <c r="B24" s="2" t="n">
        <v>3</v>
      </c>
      <c r="C24" s="9" t="n">
        <v>46265</v>
      </c>
      <c r="D24" s="2" t="n">
        <v>2</v>
      </c>
      <c r="E24" s="2" t="s">
        <v>26</v>
      </c>
      <c r="F24" s="2" t="s">
        <v>30</v>
      </c>
      <c r="G24" s="2" t="s">
        <v>28</v>
      </c>
      <c r="H24" s="2" t="s">
        <v>27</v>
      </c>
      <c r="I24" s="2" t="s">
        <v>29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4</v>
      </c>
      <c r="O24" s="2" t="n">
        <v>0</v>
      </c>
      <c r="P24" s="2" t="n">
        <v>3</v>
      </c>
      <c r="Q24" s="2" t="n">
        <v>0</v>
      </c>
      <c r="R24" s="2" t="n">
        <v>0</v>
      </c>
      <c r="S24" s="2" t="n">
        <v>82</v>
      </c>
      <c r="T24" s="2" t="n">
        <v>11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75</v>
      </c>
      <c r="AF24" s="2" t="n">
        <v>25</v>
      </c>
      <c r="AG24" s="2" t="n">
        <v>0</v>
      </c>
    </row>
    <row r="25" customFormat="false" ht="15" hidden="false" customHeight="false" outlineLevel="0" collapsed="false">
      <c r="A25" s="2" t="s">
        <v>20</v>
      </c>
      <c r="B25" s="2" t="n">
        <v>3</v>
      </c>
      <c r="C25" s="9" t="n">
        <v>46265</v>
      </c>
      <c r="D25" s="2" t="n">
        <v>3</v>
      </c>
      <c r="E25" s="2" t="s">
        <v>34</v>
      </c>
      <c r="F25" s="2" t="s">
        <v>31</v>
      </c>
      <c r="G25" s="2" t="s">
        <v>32</v>
      </c>
      <c r="H25" s="2" t="s">
        <v>33</v>
      </c>
      <c r="I25" s="2" t="s">
        <v>25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2</v>
      </c>
      <c r="O25" s="2" t="n">
        <v>5</v>
      </c>
      <c r="P25" s="2" t="n">
        <v>2</v>
      </c>
      <c r="Q25" s="2" t="n">
        <v>0</v>
      </c>
      <c r="R25" s="2" t="n">
        <v>0</v>
      </c>
      <c r="S25" s="2" t="n">
        <v>65</v>
      </c>
      <c r="T25" s="2" t="n">
        <v>16</v>
      </c>
      <c r="U25" s="2" t="n">
        <v>10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22</v>
      </c>
      <c r="AC25" s="2" t="n">
        <v>0</v>
      </c>
      <c r="AD25" s="2" t="n">
        <v>0</v>
      </c>
      <c r="AE25" s="2" t="n">
        <v>64</v>
      </c>
      <c r="AF25" s="2" t="n">
        <v>14</v>
      </c>
      <c r="AG25" s="2" t="n">
        <v>0</v>
      </c>
    </row>
    <row r="26" customFormat="false" ht="15" hidden="false" customHeight="false" outlineLevel="0" collapsed="false">
      <c r="A26" s="2" t="s">
        <v>20</v>
      </c>
      <c r="B26" s="2" t="n">
        <v>3</v>
      </c>
      <c r="C26" s="9" t="n">
        <v>46265</v>
      </c>
      <c r="D26" s="2" t="n">
        <v>4</v>
      </c>
      <c r="E26" s="2" t="s">
        <v>35</v>
      </c>
      <c r="F26" s="2" t="s">
        <v>36</v>
      </c>
      <c r="G26" s="2" t="s">
        <v>37</v>
      </c>
      <c r="H26" s="2" t="s">
        <v>38</v>
      </c>
      <c r="I26" s="2" t="s">
        <v>39</v>
      </c>
      <c r="J26" s="2" t="n">
        <v>0.6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2.6</v>
      </c>
      <c r="Q26" s="2" t="n">
        <v>0</v>
      </c>
      <c r="R26" s="2" t="n">
        <v>0</v>
      </c>
      <c r="S26" s="2" t="n">
        <v>71.8</v>
      </c>
      <c r="T26" s="2" t="n">
        <v>25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1</v>
      </c>
      <c r="AA26" s="2" t="n">
        <v>0</v>
      </c>
      <c r="AB26" s="2" t="n">
        <v>2</v>
      </c>
      <c r="AC26" s="2" t="n">
        <v>0</v>
      </c>
      <c r="AD26" s="2" t="n">
        <v>0</v>
      </c>
      <c r="AE26" s="2" t="n">
        <v>86</v>
      </c>
      <c r="AF26" s="2" t="n">
        <v>10</v>
      </c>
      <c r="AG26" s="2" t="n">
        <v>1</v>
      </c>
    </row>
    <row r="27" customFormat="false" ht="15" hidden="false" customHeight="false" outlineLevel="0" collapsed="false">
      <c r="A27" s="2"/>
      <c r="B27" s="2"/>
      <c r="C27" s="9"/>
      <c r="D27" s="2"/>
      <c r="E27" s="2"/>
      <c r="F27" s="2"/>
      <c r="G27" s="2"/>
      <c r="H27" s="28" t="s">
        <v>41</v>
      </c>
      <c r="I27" s="8" t="s">
        <v>40</v>
      </c>
      <c r="J27" s="10" t="n">
        <f aca="false">AVERAGE(J23:J26)</f>
        <v>0.15</v>
      </c>
      <c r="K27" s="10" t="n">
        <f aca="false">AVERAGE(K23:K26)</f>
        <v>1</v>
      </c>
      <c r="L27" s="10" t="n">
        <f aca="false">AVERAGE(L23:L26)</f>
        <v>0</v>
      </c>
      <c r="M27" s="10" t="n">
        <f aca="false">AVERAGE(M23:M26)</f>
        <v>0</v>
      </c>
      <c r="N27" s="10" t="n">
        <f aca="false">AVERAGE(N23:N26)</f>
        <v>3.125</v>
      </c>
      <c r="O27" s="10" t="n">
        <f aca="false">AVERAGE(O23:O26)</f>
        <v>2.875</v>
      </c>
      <c r="P27" s="10" t="n">
        <f aca="false">AVERAGE(P23:P26)</f>
        <v>4.65</v>
      </c>
      <c r="Q27" s="10" t="n">
        <f aca="false">AVERAGE(Q23:Q26)</f>
        <v>1.25</v>
      </c>
      <c r="R27" s="10" t="n">
        <f aca="false">AVERAGE(R23:R26)</f>
        <v>0</v>
      </c>
      <c r="S27" s="10" t="n">
        <f aca="false">AVERAGE(S23:S26)</f>
        <v>70.95</v>
      </c>
      <c r="T27" s="10" t="n">
        <f aca="false">AVERAGE(T23:T26)</f>
        <v>14.5</v>
      </c>
      <c r="U27" s="10" t="n">
        <f aca="false">AVERAGE(U23:U26)</f>
        <v>5.625</v>
      </c>
      <c r="V27" s="10" t="n">
        <f aca="false">AVERAGE(V23:V26)</f>
        <v>0</v>
      </c>
      <c r="W27" s="10" t="n">
        <f aca="false">AVERAGE(W23:W26)</f>
        <v>0</v>
      </c>
      <c r="X27" s="10" t="n">
        <f aca="false">AVERAGE(X23:X26)</f>
        <v>0</v>
      </c>
      <c r="Y27" s="10" t="n">
        <f aca="false">AVERAGE(Y23:Y26)</f>
        <v>0</v>
      </c>
      <c r="Z27" s="10" t="n">
        <f aca="false">AVERAGE(Z23:Z26)</f>
        <v>4.88414634146342</v>
      </c>
      <c r="AA27" s="10" t="n">
        <f aca="false">AVERAGE(AA23:AA26)</f>
        <v>2.07317073170732</v>
      </c>
      <c r="AB27" s="10" t="n">
        <f aca="false">AVERAGE(AB23:AB26)</f>
        <v>9.17073170731707</v>
      </c>
      <c r="AC27" s="10" t="n">
        <f aca="false">AVERAGE(AC23:AC26)</f>
        <v>0</v>
      </c>
      <c r="AD27" s="10" t="n">
        <f aca="false">AVERAGE(AD23:AD26)</f>
        <v>0</v>
      </c>
      <c r="AE27" s="10" t="n">
        <f aca="false">AVERAGE(AE23:AE26)</f>
        <v>68.4451219512195</v>
      </c>
      <c r="AF27" s="10" t="n">
        <f aca="false">AVERAGE(AF23:AF26)</f>
        <v>15.1768292682927</v>
      </c>
      <c r="AG27" s="10" t="n">
        <f aca="false">AVERAGE(AG23:AG26)</f>
        <v>0.25</v>
      </c>
      <c r="AH27" s="8" t="s">
        <v>40</v>
      </c>
      <c r="AI27" s="29" t="s">
        <v>41</v>
      </c>
    </row>
    <row r="28" customFormat="false" ht="15" hidden="false" customHeight="false" outlineLevel="0" collapsed="false">
      <c r="A28" s="2"/>
      <c r="B28" s="2"/>
      <c r="C28" s="9"/>
      <c r="D28" s="2"/>
      <c r="E28" s="2"/>
      <c r="F28" s="2"/>
      <c r="G28" s="2"/>
      <c r="H28" s="28" t="s">
        <v>74</v>
      </c>
      <c r="I28" s="11" t="s">
        <v>42</v>
      </c>
      <c r="J28" s="10" t="n">
        <f aca="false">STDEV(J23:J26)/SQRT(COUNT(J23:J26))</f>
        <v>0.15</v>
      </c>
      <c r="K28" s="10" t="n">
        <f aca="false">STDEV(K23:K26)/SQRT(COUNT(K23:K26))</f>
        <v>1</v>
      </c>
      <c r="L28" s="10" t="n">
        <f aca="false">STDEV(L23:L26)/SQRT(COUNT(L23:L26))</f>
        <v>0</v>
      </c>
      <c r="M28" s="10" t="n">
        <f aca="false">STDEV(M23:M26)/SQRT(COUNT(M23:M26))</f>
        <v>0</v>
      </c>
      <c r="N28" s="10" t="n">
        <f aca="false">STDEV(N23:N26)/SQRT(COUNT(N23:N26))</f>
        <v>1.39006894313436</v>
      </c>
      <c r="O28" s="10" t="n">
        <f aca="false">STDEV(O23:O26)/SQRT(COUNT(O23:O26))</f>
        <v>1.68788575837742</v>
      </c>
      <c r="P28" s="10" t="n">
        <f aca="false">STDEV(P23:P26)/SQRT(COUNT(P23:P26))</f>
        <v>2.12661703181367</v>
      </c>
      <c r="Q28" s="10" t="n">
        <f aca="false">STDEV(Q23:Q26)/SQRT(COUNT(Q23:Q26))</f>
        <v>1.25</v>
      </c>
      <c r="R28" s="10" t="n">
        <f aca="false">STDEV(R23:R26)/SQRT(COUNT(R23:R26))</f>
        <v>0</v>
      </c>
      <c r="S28" s="10" t="n">
        <f aca="false">STDEV(S23:S26)/SQRT(COUNT(S23:S26))</f>
        <v>4.01694328231472</v>
      </c>
      <c r="T28" s="10" t="n">
        <f aca="false">STDEV(T23:T26)/SQRT(COUNT(T23:T26))</f>
        <v>4.05174859371441</v>
      </c>
      <c r="U28" s="10" t="n">
        <f aca="false">STDEV(U23:U26)/SQRT(COUNT(U23:U26))</f>
        <v>3.28744454959573</v>
      </c>
      <c r="V28" s="10" t="n">
        <f aca="false">STDEV(V23:V26)/SQRT(COUNT(V23:V26))</f>
        <v>0</v>
      </c>
      <c r="W28" s="10" t="n">
        <f aca="false">STDEV(W23:W26)/SQRT(COUNT(W23:W26))</f>
        <v>0</v>
      </c>
      <c r="X28" s="10" t="n">
        <f aca="false">STDEV(X23:X26)/SQRT(COUNT(X23:X26))</f>
        <v>0</v>
      </c>
      <c r="Y28" s="10" t="n">
        <f aca="false">STDEV(Y23:Y26)/SQRT(COUNT(Y23:Y26))</f>
        <v>0</v>
      </c>
      <c r="Z28" s="10" t="n">
        <f aca="false">STDEV(Z23:Z26)/SQRT(COUNT(Z23:Z26))</f>
        <v>4.55691283551941</v>
      </c>
      <c r="AA28" s="10" t="n">
        <f aca="false">STDEV(AA23:AA26)/SQRT(COUNT(AA23:AA26))</f>
        <v>2.07317073170732</v>
      </c>
      <c r="AB28" s="10" t="n">
        <f aca="false">STDEV(AB23:AB26)/SQRT(COUNT(AB23:AB26))</f>
        <v>5.10267374982805</v>
      </c>
      <c r="AC28" s="10" t="n">
        <f aca="false">STDEV(AC23:AC26)/SQRT(COUNT(AC23:AC26))</f>
        <v>0</v>
      </c>
      <c r="AD28" s="10" t="n">
        <f aca="false">STDEV(AD23:AD26)/SQRT(COUNT(AD23:AD26))</f>
        <v>0</v>
      </c>
      <c r="AE28" s="10" t="n">
        <f aca="false">STDEV(AE23:AE26)/SQRT(COUNT(AE23:AE26))</f>
        <v>7.94563357455219</v>
      </c>
      <c r="AF28" s="10" t="n">
        <f aca="false">STDEV(AF23:AF26)/SQRT(COUNT(AF23:AF26))</f>
        <v>3.3753603078799</v>
      </c>
      <c r="AG28" s="10" t="n">
        <f aca="false">STDEV(AG23:AG26)/SQRT(COUNT(AG23:AG26))</f>
        <v>0.25</v>
      </c>
      <c r="AH28" s="11" t="s">
        <v>42</v>
      </c>
      <c r="AI28" s="29" t="s">
        <v>74</v>
      </c>
    </row>
    <row r="29" customFormat="false" ht="15" hidden="false" customHeight="false" outlineLevel="0" collapsed="false">
      <c r="A29" s="2"/>
      <c r="B29" s="2"/>
      <c r="C29" s="9"/>
      <c r="D29" s="2"/>
      <c r="E29" s="2"/>
      <c r="F29" s="2"/>
      <c r="G29" s="2"/>
      <c r="H29" s="28" t="s">
        <v>75</v>
      </c>
      <c r="I29" s="11" t="s">
        <v>44</v>
      </c>
      <c r="J29" s="10" t="n">
        <f aca="false">_xlfn.T.INV.2T(0.05,(COUNT(J23:J26)-1))*J28</f>
        <v>0.477366945792557</v>
      </c>
      <c r="K29" s="10" t="n">
        <f aca="false">_xlfn.T.INV.2T(0.05,(COUNT(K23:K26)-1))*K28</f>
        <v>3.18244630528371</v>
      </c>
      <c r="L29" s="10" t="n">
        <f aca="false">_xlfn.T.INV.2T(0.05,(COUNT(L23:L26)-1))*L28</f>
        <v>0</v>
      </c>
      <c r="M29" s="10" t="n">
        <f aca="false">_xlfn.T.INV.2T(0.05,(COUNT(M23:M26)-1))*M28</f>
        <v>0</v>
      </c>
      <c r="N29" s="10" t="n">
        <f aca="false">_xlfn.T.INV.2T(0.05,(COUNT(N23:N26)-1))*N28</f>
        <v>4.42381977216757</v>
      </c>
      <c r="O29" s="10" t="n">
        <f aca="false">_xlfn.T.INV.2T(0.05,(COUNT(O23:O26)-1))*O28</f>
        <v>5.37160579548923</v>
      </c>
      <c r="P29" s="10" t="n">
        <f aca="false">_xlfn.T.INV.2T(0.05,(COUNT(P23:P26)-1))*P28</f>
        <v>6.76784451564884</v>
      </c>
      <c r="Q29" s="10" t="n">
        <f aca="false">_xlfn.T.INV.2T(0.05,(COUNT(Q23:Q26)-1))*Q28</f>
        <v>3.97805788160464</v>
      </c>
      <c r="R29" s="10" t="n">
        <f aca="false">_xlfn.T.INV.2T(0.05,(COUNT(R23:R26)-1))*R28</f>
        <v>0</v>
      </c>
      <c r="S29" s="10" t="n">
        <f aca="false">_xlfn.T.INV.2T(0.05,(COUNT(S23:S26)-1))*S28</f>
        <v>12.7837063073367</v>
      </c>
      <c r="T29" s="10" t="n">
        <f aca="false">_xlfn.T.INV.2T(0.05,(COUNT(T23:T26)-1))*T28</f>
        <v>12.8944723420049</v>
      </c>
      <c r="U29" s="10" t="n">
        <f aca="false">_xlfn.T.INV.2T(0.05,(COUNT(U23:U26)-1))*U28</f>
        <v>10.462115760686</v>
      </c>
      <c r="V29" s="10" t="n">
        <f aca="false">_xlfn.T.INV.2T(0.05,(COUNT(V23:V26)-1))*V28</f>
        <v>0</v>
      </c>
      <c r="W29" s="10" t="n">
        <f aca="false">_xlfn.T.INV.2T(0.05,(COUNT(W23:W26)-1))*W28</f>
        <v>0</v>
      </c>
      <c r="X29" s="10" t="n">
        <f aca="false">_xlfn.T.INV.2T(0.05,(COUNT(X23:X26)-1))*X28</f>
        <v>0</v>
      </c>
      <c r="Y29" s="10" t="n">
        <f aca="false">_xlfn.T.INV.2T(0.05,(COUNT(Y23:Y26)-1))*Y28</f>
        <v>0</v>
      </c>
      <c r="Z29" s="10" t="n">
        <f aca="false">_xlfn.T.INV.2T(0.05,(COUNT(Z23:Z26)-1))*Z28</f>
        <v>14.5021304168987</v>
      </c>
      <c r="AA29" s="10" t="n">
        <f aca="false">_xlfn.T.INV.2T(0.05,(COUNT(AA23:AA26)-1))*AA28</f>
        <v>6.59775453534428</v>
      </c>
      <c r="AB29" s="10" t="n">
        <f aca="false">_xlfn.T.INV.2T(0.05,(COUNT(AB23:AB26)-1))*AB28</f>
        <v>16.2389852222084</v>
      </c>
      <c r="AC29" s="10" t="n">
        <f aca="false">_xlfn.T.INV.2T(0.05,(COUNT(AC23:AC26)-1))*AC28</f>
        <v>0</v>
      </c>
      <c r="AD29" s="10" t="n">
        <f aca="false">_xlfn.T.INV.2T(0.05,(COUNT(AD23:AD26)-1))*AD28</f>
        <v>0</v>
      </c>
      <c r="AE29" s="10" t="n">
        <f aca="false">_xlfn.T.INV.2T(0.05,(COUNT(AE23:AE26)-1))*AE28</f>
        <v>25.2865522124718</v>
      </c>
      <c r="AF29" s="10" t="n">
        <f aca="false">_xlfn.T.INV.2T(0.05,(COUNT(AF23:AF26)-1))*AF28</f>
        <v>10.7419029408137</v>
      </c>
      <c r="AG29" s="10" t="n">
        <f aca="false">_xlfn.T.INV.2T(0.05,(COUNT(AG23:AG26)-1))*AG28</f>
        <v>0.795611576320928</v>
      </c>
      <c r="AH29" s="11" t="s">
        <v>44</v>
      </c>
      <c r="AI29" s="29" t="s">
        <v>75</v>
      </c>
    </row>
    <row r="30" customFormat="false" ht="15" hidden="false" customHeight="false" outlineLevel="0" collapsed="false">
      <c r="A30" s="2"/>
      <c r="B30" s="2"/>
      <c r="C30" s="9"/>
      <c r="D30" s="2"/>
      <c r="E30" s="2"/>
      <c r="F30" s="2"/>
      <c r="G30" s="2"/>
      <c r="H30" s="28" t="s">
        <v>76</v>
      </c>
      <c r="I30" s="8" t="s">
        <v>77</v>
      </c>
      <c r="J30" s="10" t="n">
        <f aca="false">J27+J29</f>
        <v>0.627366945792557</v>
      </c>
      <c r="K30" s="10" t="n">
        <f aca="false">K27+K29</f>
        <v>4.18244630528371</v>
      </c>
      <c r="L30" s="10" t="n">
        <f aca="false">L27+L29</f>
        <v>0</v>
      </c>
      <c r="M30" s="10" t="n">
        <f aca="false">M27+M29</f>
        <v>0</v>
      </c>
      <c r="N30" s="10" t="n">
        <f aca="false">N27+N29</f>
        <v>7.54881977216757</v>
      </c>
      <c r="O30" s="10" t="n">
        <f aca="false">O27+O29</f>
        <v>8.24660579548923</v>
      </c>
      <c r="P30" s="10" t="n">
        <f aca="false">P27+P29</f>
        <v>11.4178445156488</v>
      </c>
      <c r="Q30" s="10" t="n">
        <f aca="false">Q27+Q29</f>
        <v>5.22805788160464</v>
      </c>
      <c r="R30" s="10" t="n">
        <f aca="false">R27+R29</f>
        <v>0</v>
      </c>
      <c r="S30" s="10" t="n">
        <f aca="false">S27+S29</f>
        <v>83.7337063073367</v>
      </c>
      <c r="T30" s="10" t="n">
        <f aca="false">T27+T29</f>
        <v>27.3944723420049</v>
      </c>
      <c r="U30" s="10" t="n">
        <f aca="false">U27+U29</f>
        <v>16.087115760686</v>
      </c>
      <c r="V30" s="10" t="n">
        <f aca="false">V27+V29</f>
        <v>0</v>
      </c>
      <c r="W30" s="10" t="n">
        <f aca="false">W27+W29</f>
        <v>0</v>
      </c>
      <c r="X30" s="10" t="n">
        <f aca="false">X27+X29</f>
        <v>0</v>
      </c>
      <c r="Y30" s="10" t="n">
        <f aca="false">Y27+Y29</f>
        <v>0</v>
      </c>
      <c r="Z30" s="10" t="n">
        <f aca="false">Z27+Z29</f>
        <v>19.3862767583621</v>
      </c>
      <c r="AA30" s="10" t="n">
        <f aca="false">AA27+AA29</f>
        <v>8.6709252670516</v>
      </c>
      <c r="AB30" s="10" t="n">
        <f aca="false">AB27+AB29</f>
        <v>25.4097169295255</v>
      </c>
      <c r="AC30" s="10" t="n">
        <f aca="false">AC27+AC29</f>
        <v>0</v>
      </c>
      <c r="AD30" s="10" t="n">
        <f aca="false">AD27+AD29</f>
        <v>0</v>
      </c>
      <c r="AE30" s="10" t="n">
        <f aca="false">AE27+AE29</f>
        <v>93.7316741636913</v>
      </c>
      <c r="AF30" s="10" t="n">
        <f aca="false">AF27+AF29</f>
        <v>25.9187322091064</v>
      </c>
      <c r="AG30" s="10" t="n">
        <f aca="false">AG27+AG29</f>
        <v>1.04561157632093</v>
      </c>
      <c r="AH30" s="8" t="s">
        <v>77</v>
      </c>
      <c r="AI30" s="29" t="s">
        <v>76</v>
      </c>
    </row>
    <row r="31" customFormat="false" ht="15" hidden="false" customHeight="false" outlineLevel="0" collapsed="false">
      <c r="A31" s="2"/>
      <c r="B31" s="2"/>
      <c r="C31" s="9"/>
      <c r="D31" s="2"/>
      <c r="E31" s="2"/>
      <c r="F31" s="2"/>
      <c r="G31" s="2"/>
      <c r="H31" s="28" t="s">
        <v>78</v>
      </c>
      <c r="I31" s="8" t="s">
        <v>79</v>
      </c>
      <c r="J31" s="10" t="n">
        <f aca="false">J27-J29</f>
        <v>-0.327366945792557</v>
      </c>
      <c r="K31" s="10" t="n">
        <f aca="false">K27-K29</f>
        <v>-2.18244630528371</v>
      </c>
      <c r="L31" s="10" t="n">
        <f aca="false">L27-L29</f>
        <v>0</v>
      </c>
      <c r="M31" s="10" t="n">
        <f aca="false">M27-M29</f>
        <v>0</v>
      </c>
      <c r="N31" s="10" t="n">
        <f aca="false">N27-N29</f>
        <v>-1.29881977216757</v>
      </c>
      <c r="O31" s="10" t="n">
        <f aca="false">O27-O29</f>
        <v>-2.49660579548923</v>
      </c>
      <c r="P31" s="10" t="n">
        <f aca="false">P27-P29</f>
        <v>-2.11784451564884</v>
      </c>
      <c r="Q31" s="10" t="n">
        <f aca="false">Q27-Q29</f>
        <v>-2.72805788160464</v>
      </c>
      <c r="R31" s="10" t="n">
        <f aca="false">R27-R29</f>
        <v>0</v>
      </c>
      <c r="S31" s="10" t="n">
        <f aca="false">S27-S29</f>
        <v>58.1662936926633</v>
      </c>
      <c r="T31" s="10" t="n">
        <f aca="false">T27-T29</f>
        <v>1.60552765799511</v>
      </c>
      <c r="U31" s="10" t="n">
        <f aca="false">U27-U29</f>
        <v>-4.837115760686</v>
      </c>
      <c r="V31" s="10" t="n">
        <f aca="false">V27-V29</f>
        <v>0</v>
      </c>
      <c r="W31" s="10" t="n">
        <f aca="false">W27-W29</f>
        <v>0</v>
      </c>
      <c r="X31" s="10" t="n">
        <f aca="false">X27-X29</f>
        <v>0</v>
      </c>
      <c r="Y31" s="10" t="n">
        <f aca="false">Y27-Y29</f>
        <v>0</v>
      </c>
      <c r="Z31" s="10" t="n">
        <f aca="false">Z27-Z29</f>
        <v>-9.61798407543524</v>
      </c>
      <c r="AA31" s="10" t="n">
        <f aca="false">AA27-AA29</f>
        <v>-4.52458380363696</v>
      </c>
      <c r="AB31" s="10" t="n">
        <f aca="false">AB27-AB29</f>
        <v>-7.06825351489137</v>
      </c>
      <c r="AC31" s="10" t="n">
        <f aca="false">AC27-AC29</f>
        <v>0</v>
      </c>
      <c r="AD31" s="10" t="n">
        <f aca="false">AD27-AD29</f>
        <v>0</v>
      </c>
      <c r="AE31" s="10" t="n">
        <f aca="false">AE27-AE29</f>
        <v>43.1585697387477</v>
      </c>
      <c r="AF31" s="10" t="n">
        <f aca="false">AF27-AF29</f>
        <v>4.434926327479</v>
      </c>
      <c r="AG31" s="10" t="n">
        <f aca="false">AG27-AG29</f>
        <v>-0.545611576320928</v>
      </c>
      <c r="AH31" s="8" t="s">
        <v>79</v>
      </c>
      <c r="AI31" s="29" t="s">
        <v>78</v>
      </c>
    </row>
    <row r="32" customFormat="false" ht="15" hidden="false" customHeight="false" outlineLevel="0" collapsed="false">
      <c r="A32" s="2"/>
      <c r="B32" s="2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false" ht="15" hidden="false" customHeight="false" outlineLevel="0" collapsed="false">
      <c r="A33" s="2" t="s">
        <v>20</v>
      </c>
      <c r="B33" s="2" t="n">
        <v>4</v>
      </c>
      <c r="C33" s="9" t="n">
        <v>46265</v>
      </c>
      <c r="D33" s="2" t="n">
        <v>1</v>
      </c>
      <c r="E33" s="2" t="s">
        <v>21</v>
      </c>
      <c r="F33" s="2" t="s">
        <v>22</v>
      </c>
      <c r="G33" s="2" t="s">
        <v>23</v>
      </c>
      <c r="H33" s="2" t="s">
        <v>24</v>
      </c>
      <c r="I33" s="2" t="s">
        <v>25</v>
      </c>
      <c r="J33" s="2" t="n">
        <v>86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15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5</v>
      </c>
      <c r="U33" s="2" t="n">
        <v>5</v>
      </c>
      <c r="V33" s="2" t="n">
        <v>70.5426356589147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27.1317829457364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1.55038759689923</v>
      </c>
      <c r="AG33" s="2" t="n">
        <v>0.775193798449612</v>
      </c>
    </row>
    <row r="34" customFormat="false" ht="15" hidden="false" customHeight="false" outlineLevel="0" collapsed="false">
      <c r="A34" s="2" t="s">
        <v>20</v>
      </c>
      <c r="B34" s="2" t="n">
        <v>4</v>
      </c>
      <c r="C34" s="9" t="n">
        <v>46265</v>
      </c>
      <c r="D34" s="2" t="n">
        <v>2</v>
      </c>
      <c r="E34" s="2" t="s">
        <v>26</v>
      </c>
      <c r="F34" s="2" t="s">
        <v>30</v>
      </c>
      <c r="G34" s="2" t="s">
        <v>28</v>
      </c>
      <c r="H34" s="2" t="s">
        <v>27</v>
      </c>
      <c r="I34" s="2" t="s">
        <v>29</v>
      </c>
      <c r="J34" s="2" t="n">
        <v>70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30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84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15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1</v>
      </c>
      <c r="AG34" s="2" t="n">
        <v>0</v>
      </c>
    </row>
    <row r="35" customFormat="false" ht="15" hidden="false" customHeight="false" outlineLevel="0" collapsed="false">
      <c r="A35" s="2" t="s">
        <v>20</v>
      </c>
      <c r="B35" s="2" t="n">
        <v>4</v>
      </c>
      <c r="C35" s="9" t="n">
        <v>46265</v>
      </c>
      <c r="D35" s="2" t="n">
        <v>3</v>
      </c>
      <c r="E35" s="2" t="s">
        <v>34</v>
      </c>
      <c r="F35" s="2" t="s">
        <v>31</v>
      </c>
      <c r="G35" s="2" t="s">
        <v>32</v>
      </c>
      <c r="H35" s="2" t="s">
        <v>33</v>
      </c>
      <c r="I35" s="2" t="s">
        <v>25</v>
      </c>
      <c r="J35" s="2" t="n">
        <v>63</v>
      </c>
      <c r="K35" s="2" t="n">
        <v>0</v>
      </c>
      <c r="L35" s="2" t="n">
        <v>0</v>
      </c>
      <c r="M35" s="2" t="n">
        <v>11.4</v>
      </c>
      <c r="N35" s="2" t="n">
        <v>25.6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63</v>
      </c>
      <c r="W35" s="2" t="n">
        <v>0</v>
      </c>
      <c r="X35" s="2" t="n">
        <v>0</v>
      </c>
      <c r="Y35" s="2" t="n">
        <v>2</v>
      </c>
      <c r="Z35" s="2" t="n">
        <v>0</v>
      </c>
      <c r="AA35" s="2" t="n">
        <v>32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3</v>
      </c>
      <c r="AG35" s="2" t="n">
        <v>0</v>
      </c>
    </row>
    <row r="36" customFormat="false" ht="15" hidden="false" customHeight="false" outlineLevel="0" collapsed="false">
      <c r="A36" s="2" t="s">
        <v>20</v>
      </c>
      <c r="B36" s="2" t="n">
        <v>4</v>
      </c>
      <c r="C36" s="9" t="n">
        <v>46265</v>
      </c>
      <c r="D36" s="2" t="n">
        <v>4</v>
      </c>
      <c r="E36" s="2" t="s">
        <v>35</v>
      </c>
      <c r="F36" s="2" t="s">
        <v>36</v>
      </c>
      <c r="G36" s="2" t="s">
        <v>37</v>
      </c>
      <c r="H36" s="2" t="s">
        <v>38</v>
      </c>
      <c r="I36" s="2" t="s">
        <v>39</v>
      </c>
      <c r="J36" s="2" t="n">
        <v>97.4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1.4</v>
      </c>
      <c r="P36" s="2" t="n">
        <v>0</v>
      </c>
      <c r="Q36" s="2" t="n">
        <v>0</v>
      </c>
      <c r="R36" s="2" t="n">
        <v>0.2</v>
      </c>
      <c r="S36" s="2" t="n">
        <v>0</v>
      </c>
      <c r="T36" s="2" t="n">
        <v>0.6</v>
      </c>
      <c r="U36" s="2" t="n">
        <v>0.4</v>
      </c>
      <c r="V36" s="2" t="n">
        <v>68.4931506849315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30.8219178082192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0.684931506849315</v>
      </c>
      <c r="AG36" s="2" t="n">
        <v>0</v>
      </c>
    </row>
    <row r="37" customFormat="false" ht="15" hidden="false" customHeight="false" outlineLevel="0" collapsed="false">
      <c r="H37" s="28" t="s">
        <v>41</v>
      </c>
      <c r="I37" s="8" t="s">
        <v>40</v>
      </c>
      <c r="J37" s="20" t="n">
        <f aca="false">AVERAGE(J33:J36)</f>
        <v>79.1</v>
      </c>
      <c r="K37" s="20" t="n">
        <f aca="false">AVERAGE(K33:K36)</f>
        <v>0</v>
      </c>
      <c r="L37" s="20" t="n">
        <f aca="false">AVERAGE(L33:L36)</f>
        <v>0</v>
      </c>
      <c r="M37" s="20" t="n">
        <f aca="false">AVERAGE(M33:M36)</f>
        <v>2.85</v>
      </c>
      <c r="N37" s="20" t="n">
        <f aca="false">AVERAGE(N33:N36)</f>
        <v>6.4</v>
      </c>
      <c r="O37" s="20" t="n">
        <f aca="false">AVERAGE(O33:O36)</f>
        <v>11.6</v>
      </c>
      <c r="P37" s="20" t="n">
        <f aca="false">AVERAGE(P33:P36)</f>
        <v>0</v>
      </c>
      <c r="Q37" s="20" t="n">
        <f aca="false">AVERAGE(Q33:Q36)</f>
        <v>0</v>
      </c>
      <c r="R37" s="20" t="n">
        <f aca="false">AVERAGE(R33:R36)</f>
        <v>0.05</v>
      </c>
      <c r="S37" s="20" t="n">
        <f aca="false">AVERAGE(S33:S36)</f>
        <v>0</v>
      </c>
      <c r="T37" s="20" t="n">
        <f aca="false">AVERAGE(T33:T36)</f>
        <v>1.4</v>
      </c>
      <c r="U37" s="20" t="n">
        <f aca="false">AVERAGE(U33:U36)</f>
        <v>1.35</v>
      </c>
      <c r="V37" s="20" t="n">
        <f aca="false">AVERAGE(V33:V36)</f>
        <v>71.5089465859616</v>
      </c>
      <c r="W37" s="20" t="n">
        <f aca="false">AVERAGE(W33:W36)</f>
        <v>0</v>
      </c>
      <c r="X37" s="20" t="n">
        <f aca="false">AVERAGE(X33:X36)</f>
        <v>0</v>
      </c>
      <c r="Y37" s="20" t="n">
        <f aca="false">AVERAGE(Y33:Y36)</f>
        <v>0.5</v>
      </c>
      <c r="Z37" s="20" t="n">
        <f aca="false">AVERAGE(Z33:Z36)</f>
        <v>0</v>
      </c>
      <c r="AA37" s="20" t="n">
        <f aca="false">AVERAGE(AA33:AA36)</f>
        <v>26.2384251884889</v>
      </c>
      <c r="AB37" s="20" t="n">
        <f aca="false">AVERAGE(AB33:AB36)</f>
        <v>0</v>
      </c>
      <c r="AC37" s="20" t="n">
        <f aca="false">AVERAGE(AC33:AC36)</f>
        <v>0</v>
      </c>
      <c r="AD37" s="20" t="n">
        <f aca="false">AVERAGE(AD33:AD36)</f>
        <v>0</v>
      </c>
      <c r="AE37" s="20" t="n">
        <f aca="false">AVERAGE(AE33:AE36)</f>
        <v>0</v>
      </c>
      <c r="AF37" s="20" t="n">
        <f aca="false">AVERAGE(AF33:AF36)</f>
        <v>1.55882977593714</v>
      </c>
      <c r="AG37" s="20" t="n">
        <f aca="false">AVERAGE(AG33:AG36)</f>
        <v>0.193798449612403</v>
      </c>
      <c r="AH37" s="8" t="s">
        <v>40</v>
      </c>
      <c r="AI37" s="29" t="s">
        <v>41</v>
      </c>
    </row>
    <row r="38" customFormat="false" ht="15" hidden="false" customHeight="false" outlineLevel="0" collapsed="false">
      <c r="H38" s="28" t="s">
        <v>74</v>
      </c>
      <c r="I38" s="11" t="s">
        <v>42</v>
      </c>
      <c r="J38" s="20" t="n">
        <f aca="false">STDEV(J33:J36)/SQRT(COUNT(J33:J36))</f>
        <v>7.7702423814619</v>
      </c>
      <c r="K38" s="20" t="n">
        <f aca="false">STDEV(K33:K36)/SQRT(COUNT(K33:K36))</f>
        <v>0</v>
      </c>
      <c r="L38" s="20" t="n">
        <f aca="false">STDEV(L33:L36)/SQRT(COUNT(L33:L36))</f>
        <v>0</v>
      </c>
      <c r="M38" s="20" t="n">
        <f aca="false">STDEV(M33:M36)/SQRT(COUNT(M33:M36))</f>
        <v>2.85</v>
      </c>
      <c r="N38" s="20" t="n">
        <f aca="false">STDEV(N33:N36)/SQRT(COUNT(N33:N36))</f>
        <v>6.4</v>
      </c>
      <c r="O38" s="20" t="n">
        <f aca="false">STDEV(O33:O36)/SQRT(COUNT(O33:O36))</f>
        <v>7.00428440313498</v>
      </c>
      <c r="P38" s="20" t="n">
        <f aca="false">STDEV(P33:P36)/SQRT(COUNT(P33:P36))</f>
        <v>0</v>
      </c>
      <c r="Q38" s="20" t="n">
        <f aca="false">STDEV(Q33:Q36)/SQRT(COUNT(Q33:Q36))</f>
        <v>0</v>
      </c>
      <c r="R38" s="20" t="n">
        <f aca="false">STDEV(R33:R36)/SQRT(COUNT(R33:R36))</f>
        <v>0.05</v>
      </c>
      <c r="S38" s="20" t="n">
        <f aca="false">STDEV(S33:S36)/SQRT(COUNT(S33:S36))</f>
        <v>0</v>
      </c>
      <c r="T38" s="20" t="n">
        <f aca="false">STDEV(T33:T36)/SQRT(COUNT(T33:T36))</f>
        <v>1.20830459735946</v>
      </c>
      <c r="U38" s="20" t="n">
        <f aca="false">STDEV(U33:U36)/SQRT(COUNT(U33:U36))</f>
        <v>1.22031416719903</v>
      </c>
      <c r="V38" s="20" t="n">
        <f aca="false">STDEV(V33:V36)/SQRT(COUNT(V33:V36))</f>
        <v>4.45774017038069</v>
      </c>
      <c r="W38" s="20" t="n">
        <f aca="false">STDEV(W33:W36)/SQRT(COUNT(W33:W36))</f>
        <v>0</v>
      </c>
      <c r="X38" s="20" t="n">
        <f aca="false">STDEV(X33:X36)/SQRT(COUNT(X33:X36))</f>
        <v>0</v>
      </c>
      <c r="Y38" s="20" t="n">
        <f aca="false">STDEV(Y33:Y36)/SQRT(COUNT(Y33:Y36))</f>
        <v>0.5</v>
      </c>
      <c r="Z38" s="20" t="n">
        <f aca="false">STDEV(Z33:Z36)/SQRT(COUNT(Z33:Z36))</f>
        <v>0</v>
      </c>
      <c r="AA38" s="20" t="n">
        <f aca="false">STDEV(AA33:AA36)/SQRT(COUNT(AA33:AA36))</f>
        <v>3.88699152841304</v>
      </c>
      <c r="AB38" s="20" t="n">
        <f aca="false">STDEV(AB33:AB36)/SQRT(COUNT(AB33:AB36))</f>
        <v>0</v>
      </c>
      <c r="AC38" s="20" t="n">
        <f aca="false">STDEV(AC33:AC36)/SQRT(COUNT(AC33:AC36))</f>
        <v>0</v>
      </c>
      <c r="AD38" s="20" t="n">
        <f aca="false">STDEV(AD33:AD36)/SQRT(COUNT(AD33:AD36))</f>
        <v>0</v>
      </c>
      <c r="AE38" s="20" t="n">
        <f aca="false">STDEV(AE33:AE36)/SQRT(COUNT(AE33:AE36))</f>
        <v>0</v>
      </c>
      <c r="AF38" s="20" t="n">
        <f aca="false">STDEV(AF33:AF36)/SQRT(COUNT(AF33:AF36))</f>
        <v>0.512594039201666</v>
      </c>
      <c r="AG38" s="20" t="n">
        <f aca="false">STDEV(AG33:AG36)/SQRT(COUNT(AG33:AG36))</f>
        <v>0.193798449612403</v>
      </c>
      <c r="AH38" s="11" t="s">
        <v>42</v>
      </c>
      <c r="AI38" s="29" t="s">
        <v>74</v>
      </c>
    </row>
    <row r="39" customFormat="false" ht="15" hidden="false" customHeight="false" outlineLevel="0" collapsed="false">
      <c r="H39" s="28" t="s">
        <v>75</v>
      </c>
      <c r="I39" s="11" t="s">
        <v>44</v>
      </c>
      <c r="J39" s="20" t="n">
        <f aca="false">_xlfn.T.INV.2T(0.05,(COUNT(J33:J36)-1))*J38</f>
        <v>24.7283791580423</v>
      </c>
      <c r="K39" s="20" t="n">
        <f aca="false">_xlfn.T.INV.2T(0.05,(COUNT(K33:K36)-1))*K38</f>
        <v>0</v>
      </c>
      <c r="L39" s="20" t="n">
        <f aca="false">_xlfn.T.INV.2T(0.05,(COUNT(L33:L36)-1))*L38</f>
        <v>0</v>
      </c>
      <c r="M39" s="20" t="n">
        <f aca="false">_xlfn.T.INV.2T(0.05,(COUNT(M33:M36)-1))*M38</f>
        <v>9.06997197005858</v>
      </c>
      <c r="N39" s="20" t="n">
        <f aca="false">_xlfn.T.INV.2T(0.05,(COUNT(N33:N36)-1))*N38</f>
        <v>20.3676563538158</v>
      </c>
      <c r="O39" s="20" t="n">
        <f aca="false">_xlfn.T.INV.2T(0.05,(COUNT(O33:O36)-1))*O38</f>
        <v>22.2907590199133</v>
      </c>
      <c r="P39" s="20" t="n">
        <f aca="false">_xlfn.T.INV.2T(0.05,(COUNT(P33:P36)-1))*P38</f>
        <v>0</v>
      </c>
      <c r="Q39" s="20" t="n">
        <f aca="false">_xlfn.T.INV.2T(0.05,(COUNT(Q33:Q36)-1))*Q38</f>
        <v>0</v>
      </c>
      <c r="R39" s="20" t="n">
        <f aca="false">_xlfn.T.INV.2T(0.05,(COUNT(R33:R36)-1))*R38</f>
        <v>0.159122315264186</v>
      </c>
      <c r="S39" s="20" t="n">
        <f aca="false">_xlfn.T.INV.2T(0.05,(COUNT(S33:S36)-1))*S38</f>
        <v>0</v>
      </c>
      <c r="T39" s="20" t="n">
        <f aca="false">_xlfn.T.INV.2T(0.05,(COUNT(T33:T36)-1))*T38</f>
        <v>3.84536450152393</v>
      </c>
      <c r="U39" s="20" t="n">
        <f aca="false">_xlfn.T.INV.2T(0.05,(COUNT(U33:U36)-1))*U38</f>
        <v>3.88358431268793</v>
      </c>
      <c r="V39" s="20" t="n">
        <f aca="false">_xlfn.T.INV.2T(0.05,(COUNT(V33:V36)-1))*V38</f>
        <v>14.1865187351428</v>
      </c>
      <c r="W39" s="20" t="n">
        <f aca="false">_xlfn.T.INV.2T(0.05,(COUNT(W33:W36)-1))*W38</f>
        <v>0</v>
      </c>
      <c r="X39" s="20" t="n">
        <f aca="false">_xlfn.T.INV.2T(0.05,(COUNT(X33:X36)-1))*X38</f>
        <v>0</v>
      </c>
      <c r="Y39" s="20" t="n">
        <f aca="false">_xlfn.T.INV.2T(0.05,(COUNT(Y33:Y36)-1))*Y38</f>
        <v>1.59122315264186</v>
      </c>
      <c r="Z39" s="20" t="n">
        <f aca="false">_xlfn.T.INV.2T(0.05,(COUNT(Z33:Z36)-1))*Z38</f>
        <v>0</v>
      </c>
      <c r="AA39" s="20" t="n">
        <f aca="false">_xlfn.T.INV.2T(0.05,(COUNT(AA33:AA36)-1))*AA38</f>
        <v>12.3701418282672</v>
      </c>
      <c r="AB39" s="20" t="n">
        <f aca="false">_xlfn.T.INV.2T(0.05,(COUNT(AB33:AB36)-1))*AB38</f>
        <v>0</v>
      </c>
      <c r="AC39" s="20" t="n">
        <f aca="false">_xlfn.T.INV.2T(0.05,(COUNT(AC33:AC36)-1))*AC38</f>
        <v>0</v>
      </c>
      <c r="AD39" s="20" t="n">
        <f aca="false">_xlfn.T.INV.2T(0.05,(COUNT(AD33:AD36)-1))*AD38</f>
        <v>0</v>
      </c>
      <c r="AE39" s="20" t="n">
        <f aca="false">_xlfn.T.INV.2T(0.05,(COUNT(AE33:AE36)-1))*AE38</f>
        <v>0</v>
      </c>
      <c r="AF39" s="20" t="n">
        <f aca="false">_xlfn.T.INV.2T(0.05,(COUNT(AF33:AF36)-1))*AF38</f>
        <v>1.6313030061678</v>
      </c>
      <c r="AG39" s="20" t="n">
        <f aca="false">_xlfn.T.INV.2T(0.05,(COUNT(AG33:AG36)-1))*AG38</f>
        <v>0.616753159938704</v>
      </c>
      <c r="AH39" s="11" t="s">
        <v>44</v>
      </c>
      <c r="AI39" s="29" t="s">
        <v>75</v>
      </c>
    </row>
    <row r="40" customFormat="false" ht="15" hidden="false" customHeight="false" outlineLevel="0" collapsed="false">
      <c r="H40" s="28" t="s">
        <v>76</v>
      </c>
      <c r="I40" s="8" t="s">
        <v>77</v>
      </c>
      <c r="J40" s="20" t="n">
        <f aca="false">J37+J39</f>
        <v>103.828379158042</v>
      </c>
      <c r="K40" s="20" t="n">
        <f aca="false">K37+K39</f>
        <v>0</v>
      </c>
      <c r="L40" s="20" t="n">
        <f aca="false">L37+L39</f>
        <v>0</v>
      </c>
      <c r="M40" s="20" t="n">
        <f aca="false">M37+M39</f>
        <v>11.9199719700586</v>
      </c>
      <c r="N40" s="20" t="n">
        <f aca="false">N37+N39</f>
        <v>26.7676563538158</v>
      </c>
      <c r="O40" s="20" t="n">
        <f aca="false">O37+O39</f>
        <v>33.8907590199133</v>
      </c>
      <c r="P40" s="20" t="n">
        <f aca="false">P37+P39</f>
        <v>0</v>
      </c>
      <c r="Q40" s="20" t="n">
        <f aca="false">Q37+Q39</f>
        <v>0</v>
      </c>
      <c r="R40" s="20" t="n">
        <f aca="false">R37+R39</f>
        <v>0.209122315264186</v>
      </c>
      <c r="S40" s="20" t="n">
        <f aca="false">S37+S39</f>
        <v>0</v>
      </c>
      <c r="T40" s="20" t="n">
        <f aca="false">T37+T39</f>
        <v>5.24536450152393</v>
      </c>
      <c r="U40" s="20" t="n">
        <f aca="false">U37+U39</f>
        <v>5.23358431268793</v>
      </c>
      <c r="V40" s="20" t="n">
        <f aca="false">V37+V39</f>
        <v>85.6954653211044</v>
      </c>
      <c r="W40" s="20" t="n">
        <f aca="false">W37+W39</f>
        <v>0</v>
      </c>
      <c r="X40" s="20" t="n">
        <f aca="false">X37+X39</f>
        <v>0</v>
      </c>
      <c r="Y40" s="20" t="n">
        <f aca="false">Y37+Y39</f>
        <v>2.09122315264186</v>
      </c>
      <c r="Z40" s="20" t="n">
        <f aca="false">Z37+Z39</f>
        <v>0</v>
      </c>
      <c r="AA40" s="20" t="n">
        <f aca="false">AA37+AA39</f>
        <v>38.6085670167561</v>
      </c>
      <c r="AB40" s="20" t="n">
        <f aca="false">AB37+AB39</f>
        <v>0</v>
      </c>
      <c r="AC40" s="20" t="n">
        <f aca="false">AC37+AC39</f>
        <v>0</v>
      </c>
      <c r="AD40" s="20" t="n">
        <f aca="false">AD37+AD39</f>
        <v>0</v>
      </c>
      <c r="AE40" s="20" t="n">
        <f aca="false">AE37+AE39</f>
        <v>0</v>
      </c>
      <c r="AF40" s="20" t="n">
        <f aca="false">AF37+AF39</f>
        <v>3.19013278210493</v>
      </c>
      <c r="AG40" s="20" t="n">
        <f aca="false">AG37+AG39</f>
        <v>0.810551609551107</v>
      </c>
      <c r="AH40" s="8" t="s">
        <v>77</v>
      </c>
      <c r="AI40" s="29" t="s">
        <v>76</v>
      </c>
    </row>
    <row r="41" customFormat="false" ht="15" hidden="false" customHeight="false" outlineLevel="0" collapsed="false">
      <c r="H41" s="28" t="s">
        <v>78</v>
      </c>
      <c r="I41" s="8" t="s">
        <v>79</v>
      </c>
      <c r="J41" s="20" t="n">
        <f aca="false">J37-J39</f>
        <v>54.3716208419577</v>
      </c>
      <c r="K41" s="20" t="n">
        <f aca="false">K37-K39</f>
        <v>0</v>
      </c>
      <c r="L41" s="20" t="n">
        <f aca="false">L37-L39</f>
        <v>0</v>
      </c>
      <c r="M41" s="20" t="n">
        <f aca="false">M37-M39</f>
        <v>-6.21997197005858</v>
      </c>
      <c r="N41" s="20" t="n">
        <f aca="false">N37-N39</f>
        <v>-13.9676563538158</v>
      </c>
      <c r="O41" s="20" t="n">
        <f aca="false">O37-O39</f>
        <v>-10.6907590199133</v>
      </c>
      <c r="P41" s="20" t="n">
        <f aca="false">P37-P39</f>
        <v>0</v>
      </c>
      <c r="Q41" s="20" t="n">
        <f aca="false">Q37-Q39</f>
        <v>0</v>
      </c>
      <c r="R41" s="20" t="n">
        <f aca="false">R37-R39</f>
        <v>-0.109122315264186</v>
      </c>
      <c r="S41" s="20" t="n">
        <f aca="false">S37-S39</f>
        <v>0</v>
      </c>
      <c r="T41" s="20" t="n">
        <f aca="false">T37-T39</f>
        <v>-2.44536450152393</v>
      </c>
      <c r="U41" s="20" t="n">
        <f aca="false">U37-U39</f>
        <v>-2.53358431268793</v>
      </c>
      <c r="V41" s="20" t="n">
        <f aca="false">V37-V39</f>
        <v>57.3224278508187</v>
      </c>
      <c r="W41" s="20" t="n">
        <f aca="false">W37-W39</f>
        <v>0</v>
      </c>
      <c r="X41" s="20" t="n">
        <f aca="false">X37-X39</f>
        <v>0</v>
      </c>
      <c r="Y41" s="20" t="n">
        <f aca="false">Y37-Y39</f>
        <v>-1.09122315264186</v>
      </c>
      <c r="Z41" s="20" t="n">
        <f aca="false">Z37-Z39</f>
        <v>0</v>
      </c>
      <c r="AA41" s="20" t="n">
        <f aca="false">AA37-AA39</f>
        <v>13.8682833602217</v>
      </c>
      <c r="AB41" s="20" t="n">
        <f aca="false">AB37-AB39</f>
        <v>0</v>
      </c>
      <c r="AC41" s="20" t="n">
        <f aca="false">AC37-AC39</f>
        <v>0</v>
      </c>
      <c r="AD41" s="20" t="n">
        <f aca="false">AD37-AD39</f>
        <v>0</v>
      </c>
      <c r="AE41" s="20" t="n">
        <f aca="false">AE37-AE39</f>
        <v>0</v>
      </c>
      <c r="AF41" s="20" t="n">
        <f aca="false">AF37-AF39</f>
        <v>-0.0724732302306617</v>
      </c>
      <c r="AG41" s="20" t="n">
        <f aca="false">AG37-AG39</f>
        <v>-0.422954710326301</v>
      </c>
      <c r="AH41" s="8" t="s">
        <v>79</v>
      </c>
      <c r="AI41" s="29" t="s">
        <v>78</v>
      </c>
    </row>
  </sheetData>
  <mergeCells count="2">
    <mergeCell ref="J1:U1"/>
    <mergeCell ref="V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00390625" defaultRowHeight="15" zeroHeight="false" outlineLevelRow="0" outlineLevelCol="0"/>
  <cols>
    <col collapsed="false" customWidth="true" hidden="false" outlineLevel="0" max="9" min="5" style="0" width="15.5"/>
  </cols>
  <sheetData>
    <row r="1" customFormat="false" ht="33.75" hidden="false" customHeight="true" outlineLevel="0" collapsed="false">
      <c r="J1" s="16" t="s">
        <v>80</v>
      </c>
      <c r="K1" s="16"/>
    </row>
    <row r="2" customFormat="false" ht="15" hidden="false" customHeight="false" outlineLevel="0" collapsed="false">
      <c r="A2" s="4" t="s">
        <v>11</v>
      </c>
      <c r="B2" s="4" t="s">
        <v>0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17" t="s">
        <v>81</v>
      </c>
      <c r="K2" s="17" t="s">
        <v>82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30" t="n">
        <v>7</v>
      </c>
      <c r="K3" s="1" t="n">
        <v>1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30" t="n">
        <v>2</v>
      </c>
      <c r="K4" s="1" t="n">
        <v>4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3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25</v>
      </c>
      <c r="J5" s="30" t="n">
        <v>3</v>
      </c>
      <c r="K5" s="1" t="n">
        <v>1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30" t="n">
        <v>2</v>
      </c>
      <c r="K6" s="1" t="n">
        <v>1</v>
      </c>
    </row>
    <row r="7" customFormat="false" ht="15" hidden="false" customHeight="false" outlineLevel="0" collapsed="false">
      <c r="A7" s="2"/>
      <c r="B7" s="2"/>
      <c r="C7" s="9"/>
      <c r="D7" s="2"/>
      <c r="E7" s="2"/>
      <c r="F7" s="2"/>
      <c r="G7" s="2"/>
      <c r="H7" s="2"/>
      <c r="I7" s="2"/>
      <c r="J7" s="31" t="n">
        <f aca="false">AVERAGE(J3:J6)</f>
        <v>3.5</v>
      </c>
      <c r="K7" s="31" t="n">
        <f aca="false">AVERAGE(K3:K6)</f>
        <v>1.75</v>
      </c>
      <c r="L7" s="8" t="s">
        <v>40</v>
      </c>
      <c r="M7" s="1" t="s">
        <v>41</v>
      </c>
    </row>
    <row r="8" customFormat="false" ht="15" hidden="false" customHeight="false" outlineLevel="0" collapsed="false">
      <c r="A8" s="2"/>
      <c r="B8" s="2"/>
      <c r="C8" s="9"/>
      <c r="D8" s="2"/>
      <c r="E8" s="2"/>
      <c r="F8" s="2"/>
      <c r="G8" s="2"/>
      <c r="H8" s="2"/>
      <c r="I8" s="2"/>
      <c r="J8" s="31" t="n">
        <f aca="false">STDEV(J3:J6)/SQRT(COUNT(J3:J6))</f>
        <v>1.19023807142381</v>
      </c>
      <c r="K8" s="31" t="n">
        <f aca="false">STDEV(K3:K6)/SQRT(COUNT(K3:K6))</f>
        <v>0.75</v>
      </c>
      <c r="L8" s="11" t="s">
        <v>42</v>
      </c>
      <c r="M8" s="1" t="s">
        <v>43</v>
      </c>
    </row>
    <row r="9" customFormat="false" ht="15" hidden="false" customHeight="false" outlineLevel="0" collapsed="false">
      <c r="A9" s="2"/>
      <c r="B9" s="2"/>
      <c r="C9" s="9"/>
      <c r="D9" s="2"/>
      <c r="E9" s="2"/>
      <c r="F9" s="2"/>
      <c r="G9" s="2"/>
      <c r="H9" s="2"/>
      <c r="I9" s="2"/>
      <c r="J9" s="31" t="n">
        <f aca="false">_xlfn.T.INV.2T(0.05,(COUNT(J3:J6)-1))*J8</f>
        <v>3.78786875281071</v>
      </c>
      <c r="K9" s="31" t="n">
        <f aca="false">_xlfn.T.INV.2T(0.05,(COUNT(K3:K6)-1))*K8</f>
        <v>2.38683472896278</v>
      </c>
      <c r="L9" s="8" t="s">
        <v>44</v>
      </c>
      <c r="M9" s="1" t="s">
        <v>45</v>
      </c>
    </row>
    <row r="10" customFormat="false" ht="15" hidden="false" customHeight="false" outlineLevel="0" collapsed="false">
      <c r="A10" s="2"/>
      <c r="B10" s="2"/>
      <c r="C10" s="9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 t="s">
        <v>20</v>
      </c>
      <c r="B11" s="2" t="n">
        <v>2</v>
      </c>
      <c r="C11" s="9" t="n">
        <v>46264</v>
      </c>
      <c r="D11" s="2" t="n">
        <v>1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30" t="n">
        <v>2</v>
      </c>
      <c r="K11" s="30" t="n">
        <v>4</v>
      </c>
    </row>
    <row r="12" customFormat="false" ht="15" hidden="false" customHeight="false" outlineLevel="0" collapsed="false">
      <c r="A12" s="2" t="s">
        <v>20</v>
      </c>
      <c r="B12" s="2" t="n">
        <v>2</v>
      </c>
      <c r="C12" s="9" t="n">
        <v>46264</v>
      </c>
      <c r="D12" s="2" t="n">
        <v>2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30" t="n">
        <v>1</v>
      </c>
      <c r="K12" s="30" t="n">
        <v>4</v>
      </c>
    </row>
    <row r="13" customFormat="false" ht="15" hidden="false" customHeight="false" outlineLevel="0" collapsed="false">
      <c r="A13" s="2" t="s">
        <v>20</v>
      </c>
      <c r="B13" s="2" t="n">
        <v>2</v>
      </c>
      <c r="C13" s="9" t="n">
        <v>46264</v>
      </c>
      <c r="D13" s="2" t="n">
        <v>3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25</v>
      </c>
      <c r="J13" s="30" t="n">
        <v>3</v>
      </c>
      <c r="K13" s="30" t="n">
        <v>5</v>
      </c>
    </row>
    <row r="14" customFormat="false" ht="15" hidden="false" customHeight="false" outlineLevel="0" collapsed="false">
      <c r="A14" s="2" t="s">
        <v>20</v>
      </c>
      <c r="B14" s="2" t="n">
        <v>2</v>
      </c>
      <c r="C14" s="9" t="n">
        <v>46264</v>
      </c>
      <c r="D14" s="2" t="n">
        <v>4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30" t="n">
        <v>1</v>
      </c>
      <c r="K14" s="30" t="n">
        <v>4</v>
      </c>
    </row>
    <row r="15" customFormat="false" ht="15" hidden="false" customHeight="false" outlineLevel="0" collapsed="false">
      <c r="A15" s="2"/>
      <c r="B15" s="2"/>
      <c r="C15" s="9"/>
      <c r="D15" s="2"/>
      <c r="E15" s="2"/>
      <c r="F15" s="2"/>
      <c r="G15" s="2"/>
      <c r="H15" s="2"/>
      <c r="I15" s="2"/>
      <c r="J15" s="31" t="n">
        <f aca="false">AVERAGE(J11:J14)</f>
        <v>1.75</v>
      </c>
      <c r="K15" s="31" t="n">
        <f aca="false">AVERAGE(K11:K14)</f>
        <v>4.25</v>
      </c>
      <c r="L15" s="8" t="s">
        <v>40</v>
      </c>
      <c r="M15" s="1" t="s">
        <v>41</v>
      </c>
    </row>
    <row r="16" customFormat="false" ht="15" hidden="false" customHeight="false" outlineLevel="0" collapsed="false">
      <c r="A16" s="2"/>
      <c r="B16" s="2"/>
      <c r="C16" s="9"/>
      <c r="D16" s="2"/>
      <c r="E16" s="2"/>
      <c r="F16" s="2"/>
      <c r="G16" s="2"/>
      <c r="H16" s="2"/>
      <c r="I16" s="2"/>
      <c r="J16" s="31" t="n">
        <f aca="false">STDEV(J11:J14)/SQRT(COUNT(J11:J14))</f>
        <v>0.478713553878169</v>
      </c>
      <c r="K16" s="31" t="n">
        <f aca="false">STDEV(K11:K14)/SQRT(COUNT(K11:K14))</f>
        <v>0.25</v>
      </c>
      <c r="L16" s="11" t="s">
        <v>42</v>
      </c>
      <c r="M16" s="1" t="s">
        <v>43</v>
      </c>
    </row>
    <row r="17" customFormat="false" ht="15" hidden="false" customHeight="false" outlineLevel="0" collapsed="false">
      <c r="A17" s="2"/>
      <c r="B17" s="2"/>
      <c r="C17" s="9"/>
      <c r="D17" s="2"/>
      <c r="E17" s="2"/>
      <c r="F17" s="2"/>
      <c r="G17" s="2"/>
      <c r="H17" s="2"/>
      <c r="I17" s="2"/>
      <c r="J17" s="31" t="n">
        <f aca="false">_xlfn.T.INV.2T(0.05,(COUNT(J11:J14)-1))*J16</f>
        <v>1.52348018082881</v>
      </c>
      <c r="K17" s="31" t="n">
        <f aca="false">_xlfn.T.INV.2T(0.05,(COUNT(K11:K14)-1))*K16</f>
        <v>0.795611576320928</v>
      </c>
      <c r="L17" s="8" t="s">
        <v>44</v>
      </c>
      <c r="M17" s="1" t="s">
        <v>45</v>
      </c>
    </row>
    <row r="18" customFormat="false" ht="15" hidden="false" customHeight="false" outlineLevel="0" collapsed="false">
      <c r="A18" s="2"/>
      <c r="B18" s="2"/>
      <c r="C18" s="9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 t="s">
        <v>20</v>
      </c>
      <c r="B19" s="2" t="n">
        <v>3</v>
      </c>
      <c r="C19" s="9" t="n">
        <v>46265</v>
      </c>
      <c r="D19" s="2" t="n">
        <v>1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30" t="n">
        <v>0</v>
      </c>
      <c r="K19" s="30" t="n">
        <v>7</v>
      </c>
    </row>
    <row r="20" customFormat="false" ht="15" hidden="false" customHeight="false" outlineLevel="0" collapsed="false">
      <c r="A20" s="2" t="s">
        <v>20</v>
      </c>
      <c r="B20" s="2" t="n">
        <v>3</v>
      </c>
      <c r="C20" s="9" t="n">
        <v>46265</v>
      </c>
      <c r="D20" s="2" t="n">
        <v>2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30" t="n">
        <v>4</v>
      </c>
      <c r="K20" s="30" t="n">
        <v>14</v>
      </c>
    </row>
    <row r="21" customFormat="false" ht="15" hidden="false" customHeight="false" outlineLevel="0" collapsed="false">
      <c r="A21" s="2" t="s">
        <v>20</v>
      </c>
      <c r="B21" s="2" t="n">
        <v>3</v>
      </c>
      <c r="C21" s="9" t="n">
        <v>46265</v>
      </c>
      <c r="D21" s="2" t="n">
        <v>3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25</v>
      </c>
      <c r="J21" s="30" t="n">
        <v>5</v>
      </c>
      <c r="K21" s="30" t="n">
        <v>6</v>
      </c>
    </row>
    <row r="22" customFormat="false" ht="15" hidden="false" customHeight="false" outlineLevel="0" collapsed="false">
      <c r="A22" s="2" t="s">
        <v>20</v>
      </c>
      <c r="B22" s="2" t="n">
        <v>3</v>
      </c>
      <c r="C22" s="9" t="n">
        <v>46265</v>
      </c>
      <c r="D22" s="2" t="n">
        <v>4</v>
      </c>
      <c r="E22" s="2" t="s">
        <v>35</v>
      </c>
      <c r="F22" s="2" t="s">
        <v>36</v>
      </c>
      <c r="G22" s="2" t="s">
        <v>37</v>
      </c>
      <c r="H22" s="2" t="s">
        <v>38</v>
      </c>
      <c r="I22" s="2" t="s">
        <v>39</v>
      </c>
      <c r="J22" s="30" t="n">
        <v>1</v>
      </c>
      <c r="K22" s="30" t="n">
        <v>5</v>
      </c>
    </row>
    <row r="23" customFormat="false" ht="15" hidden="false" customHeight="false" outlineLevel="0" collapsed="false">
      <c r="A23" s="2"/>
      <c r="B23" s="2"/>
      <c r="C23" s="9"/>
      <c r="D23" s="2"/>
      <c r="E23" s="2"/>
      <c r="F23" s="2"/>
      <c r="G23" s="2"/>
      <c r="H23" s="2"/>
      <c r="I23" s="2"/>
      <c r="J23" s="31" t="n">
        <f aca="false">AVERAGE(J19:J22)</f>
        <v>2.5</v>
      </c>
      <c r="K23" s="31" t="n">
        <f aca="false">AVERAGE(K19:K22)</f>
        <v>8</v>
      </c>
      <c r="L23" s="8" t="s">
        <v>40</v>
      </c>
      <c r="M23" s="1" t="s">
        <v>41</v>
      </c>
    </row>
    <row r="24" customFormat="false" ht="15" hidden="false" customHeight="false" outlineLevel="0" collapsed="false">
      <c r="A24" s="2"/>
      <c r="B24" s="2"/>
      <c r="C24" s="9"/>
      <c r="D24" s="2"/>
      <c r="E24" s="2"/>
      <c r="F24" s="2"/>
      <c r="G24" s="2"/>
      <c r="H24" s="2"/>
      <c r="I24" s="2"/>
      <c r="J24" s="31" t="n">
        <f aca="false">STDEV(J19:J22)/SQRT(COUNT(J19:J22))</f>
        <v>1.19023807142381</v>
      </c>
      <c r="K24" s="31" t="n">
        <f aca="false">STDEV(K19:K22)/SQRT(COUNT(K19:K22))</f>
        <v>2.04124145231932</v>
      </c>
      <c r="L24" s="11" t="s">
        <v>42</v>
      </c>
      <c r="M24" s="1" t="s">
        <v>43</v>
      </c>
    </row>
    <row r="25" customFormat="false" ht="15" hidden="false" customHeight="false" outlineLevel="0" collapsed="false">
      <c r="A25" s="2"/>
      <c r="B25" s="2"/>
      <c r="C25" s="9"/>
      <c r="D25" s="2"/>
      <c r="E25" s="2"/>
      <c r="F25" s="2"/>
      <c r="G25" s="2"/>
      <c r="H25" s="2"/>
      <c r="I25" s="2"/>
      <c r="J25" s="31" t="n">
        <f aca="false">_xlfn.T.INV.2T(0.05,(COUNT(J19:J22)-1))*J24</f>
        <v>3.78786875281071</v>
      </c>
      <c r="K25" s="31" t="n">
        <f aca="false">_xlfn.T.INV.2T(0.05,(COUNT(K19:K22)-1))*K24</f>
        <v>6.49614131812556</v>
      </c>
      <c r="L25" s="8" t="s">
        <v>44</v>
      </c>
      <c r="M25" s="1" t="s">
        <v>45</v>
      </c>
    </row>
    <row r="26" customFormat="false" ht="15" hidden="false" customHeight="false" outlineLevel="0" collapsed="false">
      <c r="A26" s="2"/>
      <c r="B26" s="2"/>
      <c r="C26" s="9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 t="s">
        <v>20</v>
      </c>
      <c r="B27" s="2" t="n">
        <v>4</v>
      </c>
      <c r="C27" s="9" t="n">
        <v>46265</v>
      </c>
      <c r="D27" s="2" t="n">
        <v>1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30" t="n">
        <v>9</v>
      </c>
      <c r="K27" s="30" t="n">
        <v>3</v>
      </c>
    </row>
    <row r="28" customFormat="false" ht="15" hidden="false" customHeight="false" outlineLevel="0" collapsed="false">
      <c r="A28" s="2" t="s">
        <v>20</v>
      </c>
      <c r="B28" s="2" t="n">
        <v>4</v>
      </c>
      <c r="C28" s="9" t="n">
        <v>46265</v>
      </c>
      <c r="D28" s="2" t="n">
        <v>2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30" t="n">
        <v>6</v>
      </c>
      <c r="K28" s="30" t="n">
        <v>1</v>
      </c>
    </row>
    <row r="29" customFormat="false" ht="15" hidden="false" customHeight="false" outlineLevel="0" collapsed="false">
      <c r="A29" s="2" t="s">
        <v>20</v>
      </c>
      <c r="B29" s="2" t="n">
        <v>4</v>
      </c>
      <c r="C29" s="9" t="n">
        <v>46265</v>
      </c>
      <c r="D29" s="2" t="n">
        <v>3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25</v>
      </c>
      <c r="J29" s="30" t="n">
        <v>7</v>
      </c>
      <c r="K29" s="30" t="n">
        <v>1</v>
      </c>
    </row>
    <row r="30" customFormat="false" ht="15" hidden="false" customHeight="false" outlineLevel="0" collapsed="false">
      <c r="A30" s="2" t="s">
        <v>20</v>
      </c>
      <c r="B30" s="2" t="n">
        <v>4</v>
      </c>
      <c r="C30" s="9" t="n">
        <v>46265</v>
      </c>
      <c r="D30" s="2" t="n">
        <v>4</v>
      </c>
      <c r="E30" s="2" t="s">
        <v>35</v>
      </c>
      <c r="F30" s="2" t="s">
        <v>36</v>
      </c>
      <c r="G30" s="2" t="s">
        <v>37</v>
      </c>
      <c r="H30" s="2" t="s">
        <v>38</v>
      </c>
      <c r="I30" s="2" t="s">
        <v>39</v>
      </c>
      <c r="J30" s="30" t="n">
        <v>6</v>
      </c>
      <c r="K30" s="30" t="n">
        <v>1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31" t="n">
        <f aca="false">AVERAGE(J27:J30)</f>
        <v>7</v>
      </c>
      <c r="K31" s="31" t="n">
        <f aca="false">AVERAGE(K27:K30)</f>
        <v>1.5</v>
      </c>
      <c r="L31" s="8" t="s">
        <v>40</v>
      </c>
      <c r="M31" s="1" t="s">
        <v>41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31" t="n">
        <f aca="false">STDEV(J27:J30)/SQRT(COUNT(J27:J30))</f>
        <v>0.707106781186548</v>
      </c>
      <c r="K32" s="31" t="n">
        <f aca="false">STDEV(K27:K30)/SQRT(COUNT(K27:K30))</f>
        <v>0.5</v>
      </c>
      <c r="L32" s="11" t="s">
        <v>42</v>
      </c>
      <c r="M32" s="1" t="s">
        <v>43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31" t="n">
        <f aca="false">_xlfn.T.INV.2T(0.05,(COUNT(J27:J30)-1))*J32</f>
        <v>2.25032936322819</v>
      </c>
      <c r="K33" s="31" t="n">
        <f aca="false">_xlfn.T.INV.2T(0.05,(COUNT(K27:K30)-1))*K32</f>
        <v>1.59122315264186</v>
      </c>
      <c r="L33" s="8" t="s">
        <v>44</v>
      </c>
      <c r="M33" s="1" t="s">
        <v>45</v>
      </c>
    </row>
  </sheetData>
  <mergeCells count="1">
    <mergeCell ref="J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L18" activeCellId="0" sqref="L18"/>
    </sheetView>
  </sheetViews>
  <sheetFormatPr defaultColWidth="11.00390625" defaultRowHeight="15" zeroHeight="false" outlineLevelRow="0" outlineLevelCol="0"/>
  <cols>
    <col collapsed="false" customWidth="true" hidden="false" outlineLevel="0" max="9" min="5" style="0" width="14.83"/>
    <col collapsed="false" customWidth="true" hidden="false" outlineLevel="0" max="10" min="10" style="0" width="39.66"/>
  </cols>
  <sheetData>
    <row r="1" customFormat="false" ht="15" hidden="false" customHeight="false" outlineLevel="0" collapsed="false">
      <c r="A1" s="4" t="s">
        <v>11</v>
      </c>
      <c r="B1" s="4" t="s">
        <v>0</v>
      </c>
      <c r="C1" s="4" t="s">
        <v>12</v>
      </c>
      <c r="D1" s="4" t="s">
        <v>13</v>
      </c>
      <c r="E1" s="5" t="s">
        <v>14</v>
      </c>
      <c r="F1" s="6" t="s">
        <v>15</v>
      </c>
      <c r="G1" s="6" t="s">
        <v>16</v>
      </c>
      <c r="H1" s="6" t="s">
        <v>17</v>
      </c>
      <c r="I1" s="7" t="s">
        <v>18</v>
      </c>
      <c r="J1" s="14" t="s">
        <v>83</v>
      </c>
      <c r="K1" s="14" t="s">
        <v>84</v>
      </c>
    </row>
    <row r="2" customFormat="false" ht="15" hidden="false" customHeight="false" outlineLevel="0" collapsed="false">
      <c r="A2" s="2" t="s">
        <v>20</v>
      </c>
      <c r="B2" s="2" t="n">
        <v>1</v>
      </c>
      <c r="C2" s="9" t="n">
        <v>46264</v>
      </c>
      <c r="D2" s="2" t="n">
        <v>1</v>
      </c>
      <c r="E2" s="3" t="s">
        <v>85</v>
      </c>
      <c r="F2" s="2" t="s">
        <v>21</v>
      </c>
      <c r="G2" s="2" t="s">
        <v>86</v>
      </c>
      <c r="H2" s="2" t="s">
        <v>23</v>
      </c>
      <c r="I2" s="2" t="s">
        <v>25</v>
      </c>
      <c r="J2" s="2" t="s">
        <v>87</v>
      </c>
      <c r="K2" s="2" t="s">
        <v>88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3" t="s">
        <v>85</v>
      </c>
      <c r="F3" s="2" t="s">
        <v>21</v>
      </c>
      <c r="G3" s="2" t="s">
        <v>86</v>
      </c>
      <c r="H3" s="2" t="s">
        <v>23</v>
      </c>
      <c r="I3" s="2" t="s">
        <v>25</v>
      </c>
      <c r="J3" s="32" t="s">
        <v>89</v>
      </c>
      <c r="K3" s="2" t="s">
        <v>88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1</v>
      </c>
      <c r="E4" s="3" t="s">
        <v>85</v>
      </c>
      <c r="F4" s="2" t="s">
        <v>21</v>
      </c>
      <c r="G4" s="2" t="s">
        <v>86</v>
      </c>
      <c r="H4" s="2" t="s">
        <v>23</v>
      </c>
      <c r="I4" s="2" t="s">
        <v>25</v>
      </c>
      <c r="J4" s="2" t="s">
        <v>90</v>
      </c>
      <c r="K4" s="2" t="s">
        <v>88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1</v>
      </c>
      <c r="E5" s="3" t="s">
        <v>85</v>
      </c>
      <c r="F5" s="2" t="s">
        <v>21</v>
      </c>
      <c r="G5" s="2" t="s">
        <v>86</v>
      </c>
      <c r="H5" s="2" t="s">
        <v>23</v>
      </c>
      <c r="I5" s="2" t="s">
        <v>25</v>
      </c>
      <c r="J5" s="32" t="s">
        <v>91</v>
      </c>
      <c r="K5" s="2" t="s">
        <v>88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1</v>
      </c>
      <c r="E6" s="3" t="s">
        <v>85</v>
      </c>
      <c r="F6" s="2" t="s">
        <v>21</v>
      </c>
      <c r="G6" s="2" t="s">
        <v>86</v>
      </c>
      <c r="H6" s="2" t="s">
        <v>23</v>
      </c>
      <c r="I6" s="2" t="s">
        <v>25</v>
      </c>
      <c r="J6" s="32" t="s">
        <v>92</v>
      </c>
      <c r="K6" s="2" t="s">
        <v>88</v>
      </c>
    </row>
    <row r="7" customFormat="false" ht="15" hidden="false" customHeight="false" outlineLevel="0" collapsed="false">
      <c r="A7" s="2" t="s">
        <v>20</v>
      </c>
      <c r="B7" s="2" t="n">
        <v>1</v>
      </c>
      <c r="C7" s="9" t="n">
        <v>46264</v>
      </c>
      <c r="D7" s="2" t="n">
        <v>1</v>
      </c>
      <c r="E7" s="3" t="s">
        <v>85</v>
      </c>
      <c r="F7" s="2" t="s">
        <v>21</v>
      </c>
      <c r="G7" s="2" t="s">
        <v>86</v>
      </c>
      <c r="H7" s="2" t="s">
        <v>23</v>
      </c>
      <c r="I7" s="2" t="s">
        <v>25</v>
      </c>
      <c r="J7" s="2" t="s">
        <v>93</v>
      </c>
      <c r="K7" s="2" t="s">
        <v>88</v>
      </c>
    </row>
    <row r="8" customFormat="false" ht="15" hidden="false" customHeight="false" outlineLevel="0" collapsed="false">
      <c r="A8" s="2" t="s">
        <v>20</v>
      </c>
      <c r="B8" s="2" t="n">
        <v>1</v>
      </c>
      <c r="C8" s="9" t="n">
        <v>46264</v>
      </c>
      <c r="D8" s="2" t="n">
        <v>1</v>
      </c>
      <c r="E8" s="3" t="s">
        <v>85</v>
      </c>
      <c r="F8" s="2" t="s">
        <v>21</v>
      </c>
      <c r="G8" s="2" t="s">
        <v>86</v>
      </c>
      <c r="H8" s="2" t="s">
        <v>23</v>
      </c>
      <c r="I8" s="2" t="s">
        <v>25</v>
      </c>
      <c r="J8" s="2" t="s">
        <v>94</v>
      </c>
      <c r="K8" s="2" t="s">
        <v>88</v>
      </c>
    </row>
    <row r="9" customFormat="false" ht="15" hidden="false" customHeight="false" outlineLevel="0" collapsed="false">
      <c r="A9" s="2" t="s">
        <v>20</v>
      </c>
      <c r="B9" s="2" t="n">
        <v>1</v>
      </c>
      <c r="C9" s="33" t="n">
        <v>46264</v>
      </c>
      <c r="D9" s="2" t="n">
        <v>2</v>
      </c>
      <c r="E9" s="2" t="s">
        <v>26</v>
      </c>
      <c r="F9" s="2" t="s">
        <v>27</v>
      </c>
      <c r="G9" s="2" t="s">
        <v>28</v>
      </c>
      <c r="H9" s="2" t="s">
        <v>95</v>
      </c>
      <c r="I9" s="2" t="s">
        <v>30</v>
      </c>
      <c r="J9" s="32" t="s">
        <v>96</v>
      </c>
      <c r="K9" s="2" t="n">
        <v>1</v>
      </c>
    </row>
    <row r="10" customFormat="false" ht="15" hidden="false" customHeight="false" outlineLevel="0" collapsed="false">
      <c r="A10" s="2" t="s">
        <v>20</v>
      </c>
      <c r="B10" s="2" t="n">
        <v>1</v>
      </c>
      <c r="C10" s="33" t="n">
        <v>46264</v>
      </c>
      <c r="D10" s="2" t="n">
        <v>2</v>
      </c>
      <c r="E10" s="2" t="s">
        <v>26</v>
      </c>
      <c r="F10" s="2" t="s">
        <v>27</v>
      </c>
      <c r="G10" s="2" t="s">
        <v>28</v>
      </c>
      <c r="H10" s="2" t="s">
        <v>95</v>
      </c>
      <c r="I10" s="2" t="s">
        <v>30</v>
      </c>
      <c r="J10" s="32" t="s">
        <v>97</v>
      </c>
      <c r="K10" s="2" t="n">
        <v>5</v>
      </c>
    </row>
    <row r="11" customFormat="false" ht="15" hidden="false" customHeight="false" outlineLevel="0" collapsed="false">
      <c r="A11" s="2" t="s">
        <v>20</v>
      </c>
      <c r="B11" s="2" t="n">
        <v>1</v>
      </c>
      <c r="C11" s="9" t="n">
        <v>46264</v>
      </c>
      <c r="D11" s="2" t="n">
        <v>3</v>
      </c>
      <c r="E11" s="2" t="s">
        <v>33</v>
      </c>
      <c r="F11" s="2" t="s">
        <v>31</v>
      </c>
      <c r="G11" s="2" t="s">
        <v>32</v>
      </c>
      <c r="H11" s="2" t="s">
        <v>34</v>
      </c>
      <c r="I11" s="2" t="s">
        <v>25</v>
      </c>
      <c r="J11" s="32" t="s">
        <v>89</v>
      </c>
      <c r="K11" s="2" t="n">
        <v>1</v>
      </c>
    </row>
    <row r="12" customFormat="false" ht="15" hidden="false" customHeight="false" outlineLevel="0" collapsed="false">
      <c r="A12" s="2" t="s">
        <v>20</v>
      </c>
      <c r="B12" s="2" t="n">
        <v>1</v>
      </c>
      <c r="C12" s="9" t="n">
        <v>46264</v>
      </c>
      <c r="D12" s="2" t="n">
        <v>3</v>
      </c>
      <c r="E12" s="2" t="s">
        <v>33</v>
      </c>
      <c r="F12" s="2" t="s">
        <v>31</v>
      </c>
      <c r="G12" s="2" t="s">
        <v>32</v>
      </c>
      <c r="H12" s="2" t="s">
        <v>34</v>
      </c>
      <c r="I12" s="2" t="s">
        <v>25</v>
      </c>
      <c r="J12" s="32" t="s">
        <v>97</v>
      </c>
      <c r="K12" s="2" t="n">
        <v>30</v>
      </c>
    </row>
    <row r="13" customFormat="false" ht="15" hidden="false" customHeight="false" outlineLevel="0" collapsed="false">
      <c r="A13" s="2" t="s">
        <v>20</v>
      </c>
      <c r="B13" s="2" t="n">
        <v>1</v>
      </c>
      <c r="C13" s="9" t="n">
        <v>46264</v>
      </c>
      <c r="D13" s="2" t="n">
        <v>3</v>
      </c>
      <c r="E13" s="2" t="s">
        <v>33</v>
      </c>
      <c r="F13" s="2" t="s">
        <v>31</v>
      </c>
      <c r="G13" s="2" t="s">
        <v>32</v>
      </c>
      <c r="H13" s="2" t="s">
        <v>34</v>
      </c>
      <c r="I13" s="2" t="s">
        <v>25</v>
      </c>
      <c r="J13" s="32" t="s">
        <v>98</v>
      </c>
      <c r="K13" s="2" t="n">
        <v>1</v>
      </c>
      <c r="M13" s="2"/>
    </row>
    <row r="14" customFormat="false" ht="15" hidden="false" customHeight="false" outlineLevel="0" collapsed="false">
      <c r="A14" s="2" t="s">
        <v>20</v>
      </c>
      <c r="B14" s="2" t="n">
        <v>1</v>
      </c>
      <c r="C14" s="9" t="n">
        <v>46264</v>
      </c>
      <c r="D14" s="2" t="n">
        <v>4</v>
      </c>
      <c r="E14" s="2" t="s">
        <v>35</v>
      </c>
      <c r="F14" s="2" t="s">
        <v>37</v>
      </c>
      <c r="G14" s="2" t="s">
        <v>38</v>
      </c>
      <c r="H14" s="2" t="s">
        <v>99</v>
      </c>
      <c r="I14" s="2" t="s">
        <v>36</v>
      </c>
      <c r="J14" s="2" t="s">
        <v>87</v>
      </c>
      <c r="K14" s="2" t="n">
        <v>71</v>
      </c>
      <c r="M14" s="2"/>
    </row>
    <row r="15" customFormat="false" ht="15" hidden="false" customHeight="false" outlineLevel="0" collapsed="false">
      <c r="A15" s="2" t="s">
        <v>20</v>
      </c>
      <c r="B15" s="2" t="n">
        <v>1</v>
      </c>
      <c r="C15" s="9" t="n">
        <v>46264</v>
      </c>
      <c r="D15" s="2" t="n">
        <v>4</v>
      </c>
      <c r="E15" s="2" t="s">
        <v>35</v>
      </c>
      <c r="F15" s="2" t="s">
        <v>37</v>
      </c>
      <c r="G15" s="2" t="s">
        <v>38</v>
      </c>
      <c r="H15" s="2" t="s">
        <v>99</v>
      </c>
      <c r="I15" s="2" t="s">
        <v>36</v>
      </c>
      <c r="J15" s="32" t="s">
        <v>97</v>
      </c>
      <c r="K15" s="2" t="n">
        <v>3</v>
      </c>
      <c r="M15" s="2"/>
    </row>
    <row r="16" customFormat="false" ht="15" hidden="false" customHeight="false" outlineLevel="0" collapsed="false">
      <c r="A16" s="2" t="s">
        <v>20</v>
      </c>
      <c r="B16" s="2" t="n">
        <v>2</v>
      </c>
      <c r="C16" s="9" t="n">
        <v>46264</v>
      </c>
      <c r="D16" s="2" t="n">
        <v>1</v>
      </c>
      <c r="E16" s="3" t="s">
        <v>85</v>
      </c>
      <c r="F16" s="2" t="s">
        <v>21</v>
      </c>
      <c r="G16" s="2" t="s">
        <v>86</v>
      </c>
      <c r="H16" s="2" t="s">
        <v>23</v>
      </c>
      <c r="I16" s="2" t="s">
        <v>25</v>
      </c>
      <c r="J16" s="32" t="s">
        <v>100</v>
      </c>
      <c r="K16" s="2" t="s">
        <v>88</v>
      </c>
      <c r="M16" s="2"/>
    </row>
    <row r="17" customFormat="false" ht="15" hidden="false" customHeight="false" outlineLevel="0" collapsed="false">
      <c r="A17" s="2" t="s">
        <v>20</v>
      </c>
      <c r="B17" s="2" t="n">
        <v>2</v>
      </c>
      <c r="C17" s="9" t="n">
        <v>46264</v>
      </c>
      <c r="D17" s="2" t="n">
        <v>1</v>
      </c>
      <c r="E17" s="3" t="s">
        <v>85</v>
      </c>
      <c r="F17" s="2" t="s">
        <v>21</v>
      </c>
      <c r="G17" s="2" t="s">
        <v>86</v>
      </c>
      <c r="H17" s="2" t="s">
        <v>23</v>
      </c>
      <c r="I17" s="2" t="s">
        <v>25</v>
      </c>
      <c r="J17" s="32" t="s">
        <v>101</v>
      </c>
      <c r="K17" s="2" t="s">
        <v>88</v>
      </c>
    </row>
    <row r="18" customFormat="false" ht="15" hidden="false" customHeight="false" outlineLevel="0" collapsed="false">
      <c r="A18" s="2" t="s">
        <v>20</v>
      </c>
      <c r="B18" s="2" t="n">
        <v>2</v>
      </c>
      <c r="C18" s="33" t="n">
        <v>46264</v>
      </c>
      <c r="D18" s="2" t="n">
        <v>2</v>
      </c>
      <c r="E18" s="2" t="s">
        <v>26</v>
      </c>
      <c r="F18" s="2" t="s">
        <v>27</v>
      </c>
      <c r="G18" s="2" t="s">
        <v>28</v>
      </c>
      <c r="H18" s="2" t="s">
        <v>95</v>
      </c>
      <c r="I18" s="2" t="s">
        <v>30</v>
      </c>
      <c r="J18" s="32" t="s">
        <v>101</v>
      </c>
      <c r="K18" s="2" t="n">
        <v>20</v>
      </c>
    </row>
    <row r="19" customFormat="false" ht="15" hidden="false" customHeight="false" outlineLevel="0" collapsed="false">
      <c r="A19" s="2" t="s">
        <v>20</v>
      </c>
      <c r="B19" s="2" t="n">
        <v>2</v>
      </c>
      <c r="C19" s="9" t="n">
        <v>46264</v>
      </c>
      <c r="D19" s="2" t="n">
        <v>3</v>
      </c>
      <c r="E19" s="2" t="s">
        <v>33</v>
      </c>
      <c r="F19" s="2" t="s">
        <v>31</v>
      </c>
      <c r="G19" s="2" t="s">
        <v>32</v>
      </c>
      <c r="H19" s="2" t="s">
        <v>34</v>
      </c>
      <c r="I19" s="2" t="s">
        <v>25</v>
      </c>
      <c r="J19" s="32" t="s">
        <v>102</v>
      </c>
      <c r="K19" s="2" t="n">
        <v>16</v>
      </c>
    </row>
    <row r="20" customFormat="false" ht="15" hidden="false" customHeight="false" outlineLevel="0" collapsed="false">
      <c r="A20" s="2" t="s">
        <v>20</v>
      </c>
      <c r="B20" s="2" t="n">
        <v>2</v>
      </c>
      <c r="C20" s="9" t="n">
        <v>46265</v>
      </c>
      <c r="D20" s="2" t="n">
        <v>3</v>
      </c>
      <c r="E20" s="2" t="s">
        <v>33</v>
      </c>
      <c r="F20" s="2" t="s">
        <v>31</v>
      </c>
      <c r="G20" s="2" t="s">
        <v>32</v>
      </c>
      <c r="H20" s="2" t="s">
        <v>34</v>
      </c>
      <c r="I20" s="2" t="s">
        <v>25</v>
      </c>
      <c r="J20" s="32" t="s">
        <v>103</v>
      </c>
      <c r="K20" s="2" t="n">
        <v>3</v>
      </c>
      <c r="L20" s="2"/>
      <c r="M20" s="2"/>
    </row>
    <row r="21" customFormat="false" ht="15" hidden="false" customHeight="false" outlineLevel="0" collapsed="false">
      <c r="A21" s="2" t="s">
        <v>20</v>
      </c>
      <c r="B21" s="2" t="n">
        <v>2</v>
      </c>
      <c r="C21" s="9" t="n">
        <v>46264</v>
      </c>
      <c r="D21" s="2" t="n">
        <v>3</v>
      </c>
      <c r="E21" s="2" t="s">
        <v>33</v>
      </c>
      <c r="F21" s="2" t="s">
        <v>31</v>
      </c>
      <c r="G21" s="2" t="s">
        <v>32</v>
      </c>
      <c r="H21" s="2" t="s">
        <v>34</v>
      </c>
      <c r="I21" s="2" t="s">
        <v>25</v>
      </c>
      <c r="J21" s="32" t="s">
        <v>101</v>
      </c>
      <c r="K21" s="2" t="n">
        <v>3</v>
      </c>
    </row>
    <row r="22" customFormat="false" ht="15" hidden="false" customHeight="false" outlineLevel="0" collapsed="false">
      <c r="A22" s="2" t="s">
        <v>20</v>
      </c>
      <c r="B22" s="2" t="n">
        <v>2</v>
      </c>
      <c r="C22" s="9" t="n">
        <v>46264</v>
      </c>
      <c r="D22" s="2" t="n">
        <v>4</v>
      </c>
      <c r="E22" s="2" t="s">
        <v>35</v>
      </c>
      <c r="F22" s="2" t="s">
        <v>37</v>
      </c>
      <c r="G22" s="2" t="s">
        <v>38</v>
      </c>
      <c r="H22" s="2" t="s">
        <v>99</v>
      </c>
      <c r="I22" s="2" t="s">
        <v>36</v>
      </c>
      <c r="J22" s="32" t="s">
        <v>101</v>
      </c>
      <c r="K22" s="2" t="n">
        <v>1</v>
      </c>
    </row>
    <row r="23" customFormat="false" ht="15" hidden="false" customHeight="false" outlineLevel="0" collapsed="false">
      <c r="A23" s="2" t="s">
        <v>20</v>
      </c>
      <c r="B23" s="2" t="n">
        <v>3</v>
      </c>
      <c r="C23" s="9" t="n">
        <v>46265</v>
      </c>
      <c r="D23" s="2" t="n">
        <v>1</v>
      </c>
      <c r="E23" s="3" t="s">
        <v>85</v>
      </c>
      <c r="F23" s="2" t="s">
        <v>21</v>
      </c>
      <c r="G23" s="2" t="s">
        <v>86</v>
      </c>
      <c r="H23" s="2" t="s">
        <v>23</v>
      </c>
      <c r="I23" s="2" t="s">
        <v>25</v>
      </c>
      <c r="J23" s="2" t="s">
        <v>104</v>
      </c>
      <c r="K23" s="2" t="n">
        <v>0</v>
      </c>
    </row>
    <row r="24" customFormat="false" ht="15" hidden="false" customHeight="false" outlineLevel="0" collapsed="false">
      <c r="A24" s="2" t="s">
        <v>20</v>
      </c>
      <c r="B24" s="2" t="n">
        <v>3</v>
      </c>
      <c r="C24" s="33" t="n">
        <v>46265</v>
      </c>
      <c r="D24" s="2" t="n">
        <v>2</v>
      </c>
      <c r="E24" s="2" t="s">
        <v>26</v>
      </c>
      <c r="F24" s="2" t="s">
        <v>27</v>
      </c>
      <c r="G24" s="2" t="s">
        <v>28</v>
      </c>
      <c r="H24" s="2" t="s">
        <v>95</v>
      </c>
      <c r="I24" s="2" t="s">
        <v>30</v>
      </c>
      <c r="J24" s="32" t="s">
        <v>105</v>
      </c>
      <c r="K24" s="2" t="n">
        <v>2</v>
      </c>
    </row>
    <row r="25" customFormat="false" ht="15" hidden="false" customHeight="false" outlineLevel="0" collapsed="false">
      <c r="A25" s="2" t="s">
        <v>20</v>
      </c>
      <c r="B25" s="2" t="n">
        <v>3</v>
      </c>
      <c r="C25" s="33" t="n">
        <v>46265</v>
      </c>
      <c r="D25" s="2" t="n">
        <v>2</v>
      </c>
      <c r="E25" s="2" t="s">
        <v>26</v>
      </c>
      <c r="F25" s="2" t="s">
        <v>27</v>
      </c>
      <c r="G25" s="2" t="s">
        <v>28</v>
      </c>
      <c r="H25" s="2" t="s">
        <v>95</v>
      </c>
      <c r="I25" s="2" t="s">
        <v>30</v>
      </c>
      <c r="J25" s="32" t="s">
        <v>106</v>
      </c>
      <c r="K25" s="2" t="n">
        <v>1</v>
      </c>
    </row>
    <row r="26" customFormat="false" ht="15" hidden="false" customHeight="false" outlineLevel="0" collapsed="false">
      <c r="A26" s="2" t="s">
        <v>20</v>
      </c>
      <c r="B26" s="2" t="n">
        <v>3</v>
      </c>
      <c r="C26" s="33" t="n">
        <v>46265</v>
      </c>
      <c r="D26" s="2" t="n">
        <v>2</v>
      </c>
      <c r="E26" s="2" t="s">
        <v>26</v>
      </c>
      <c r="F26" s="2" t="s">
        <v>27</v>
      </c>
      <c r="G26" s="2" t="s">
        <v>28</v>
      </c>
      <c r="H26" s="2" t="s">
        <v>95</v>
      </c>
      <c r="I26" s="2" t="s">
        <v>30</v>
      </c>
      <c r="J26" s="32" t="s">
        <v>107</v>
      </c>
      <c r="K26" s="2" t="n">
        <v>2</v>
      </c>
    </row>
    <row r="27" customFormat="false" ht="15" hidden="false" customHeight="false" outlineLevel="0" collapsed="false">
      <c r="A27" s="2" t="s">
        <v>20</v>
      </c>
      <c r="B27" s="2" t="n">
        <v>3</v>
      </c>
      <c r="C27" s="33" t="n">
        <v>46265</v>
      </c>
      <c r="D27" s="2" t="n">
        <v>2</v>
      </c>
      <c r="E27" s="2" t="s">
        <v>26</v>
      </c>
      <c r="F27" s="2" t="s">
        <v>27</v>
      </c>
      <c r="G27" s="2" t="s">
        <v>28</v>
      </c>
      <c r="H27" s="2" t="s">
        <v>95</v>
      </c>
      <c r="I27" s="2" t="s">
        <v>30</v>
      </c>
      <c r="J27" s="2" t="s">
        <v>108</v>
      </c>
      <c r="K27" s="2" t="n">
        <v>4</v>
      </c>
    </row>
    <row r="28" customFormat="false" ht="15" hidden="false" customHeight="false" outlineLevel="0" collapsed="false">
      <c r="A28" s="2" t="s">
        <v>20</v>
      </c>
      <c r="B28" s="2" t="n">
        <v>3</v>
      </c>
      <c r="C28" s="9" t="n">
        <v>46264</v>
      </c>
      <c r="D28" s="2" t="n">
        <v>3</v>
      </c>
      <c r="E28" s="2" t="s">
        <v>33</v>
      </c>
      <c r="F28" s="2" t="s">
        <v>31</v>
      </c>
      <c r="G28" s="2" t="s">
        <v>32</v>
      </c>
      <c r="H28" s="2" t="s">
        <v>34</v>
      </c>
      <c r="I28" s="2" t="s">
        <v>25</v>
      </c>
      <c r="J28" s="32" t="s">
        <v>105</v>
      </c>
      <c r="K28" s="2" t="n">
        <v>20</v>
      </c>
    </row>
    <row r="29" customFormat="false" ht="15" hidden="false" customHeight="false" outlineLevel="0" collapsed="false">
      <c r="A29" s="2" t="s">
        <v>20</v>
      </c>
      <c r="B29" s="2" t="n">
        <v>3</v>
      </c>
      <c r="C29" s="9" t="n">
        <v>46265</v>
      </c>
      <c r="D29" s="2" t="n">
        <v>3</v>
      </c>
      <c r="E29" s="2" t="s">
        <v>33</v>
      </c>
      <c r="F29" s="2" t="s">
        <v>31</v>
      </c>
      <c r="G29" s="2" t="s">
        <v>32</v>
      </c>
      <c r="H29" s="2" t="s">
        <v>34</v>
      </c>
      <c r="I29" s="2" t="s">
        <v>25</v>
      </c>
      <c r="J29" s="32" t="s">
        <v>109</v>
      </c>
      <c r="K29" s="2" t="n">
        <v>3</v>
      </c>
    </row>
    <row r="30" customFormat="false" ht="15" hidden="false" customHeight="false" outlineLevel="0" collapsed="false">
      <c r="A30" s="2" t="s">
        <v>20</v>
      </c>
      <c r="B30" s="2" t="n">
        <v>3</v>
      </c>
      <c r="C30" s="9" t="n">
        <v>46265</v>
      </c>
      <c r="D30" s="2" t="n">
        <v>3</v>
      </c>
      <c r="E30" s="2" t="s">
        <v>33</v>
      </c>
      <c r="F30" s="2" t="s">
        <v>31</v>
      </c>
      <c r="G30" s="2" t="s">
        <v>32</v>
      </c>
      <c r="H30" s="2" t="s">
        <v>34</v>
      </c>
      <c r="I30" s="2" t="s">
        <v>25</v>
      </c>
      <c r="J30" s="32" t="s">
        <v>107</v>
      </c>
      <c r="K30" s="2" t="n">
        <v>2</v>
      </c>
    </row>
    <row r="31" customFormat="false" ht="15" hidden="false" customHeight="false" outlineLevel="0" collapsed="false">
      <c r="A31" s="2" t="s">
        <v>20</v>
      </c>
      <c r="B31" s="2" t="n">
        <v>3</v>
      </c>
      <c r="C31" s="9" t="n">
        <v>46265</v>
      </c>
      <c r="D31" s="2" t="n">
        <v>3</v>
      </c>
      <c r="E31" s="2" t="s">
        <v>33</v>
      </c>
      <c r="F31" s="2" t="s">
        <v>31</v>
      </c>
      <c r="G31" s="2" t="s">
        <v>32</v>
      </c>
      <c r="H31" s="2" t="s">
        <v>34</v>
      </c>
      <c r="I31" s="2" t="s">
        <v>25</v>
      </c>
      <c r="J31" s="32" t="s">
        <v>110</v>
      </c>
      <c r="K31" s="2" t="n">
        <v>1</v>
      </c>
    </row>
    <row r="32" customFormat="false" ht="15" hidden="false" customHeight="false" outlineLevel="0" collapsed="false">
      <c r="A32" s="2" t="s">
        <v>20</v>
      </c>
      <c r="B32" s="2" t="n">
        <v>3</v>
      </c>
      <c r="C32" s="9" t="n">
        <v>46265</v>
      </c>
      <c r="D32" s="2" t="n">
        <v>3</v>
      </c>
      <c r="E32" s="2" t="s">
        <v>33</v>
      </c>
      <c r="F32" s="2" t="s">
        <v>31</v>
      </c>
      <c r="G32" s="2" t="s">
        <v>32</v>
      </c>
      <c r="H32" s="2" t="s">
        <v>34</v>
      </c>
      <c r="I32" s="2" t="s">
        <v>25</v>
      </c>
      <c r="J32" s="32" t="s">
        <v>111</v>
      </c>
      <c r="K32" s="2" t="n">
        <v>3</v>
      </c>
    </row>
    <row r="33" customFormat="false" ht="15" hidden="false" customHeight="false" outlineLevel="0" collapsed="false">
      <c r="A33" s="2" t="s">
        <v>20</v>
      </c>
      <c r="B33" s="2" t="n">
        <v>3</v>
      </c>
      <c r="C33" s="9" t="n">
        <v>46265</v>
      </c>
      <c r="D33" s="2" t="n">
        <v>4</v>
      </c>
      <c r="E33" s="2" t="s">
        <v>35</v>
      </c>
      <c r="F33" s="2" t="s">
        <v>37</v>
      </c>
      <c r="G33" s="2" t="s">
        <v>38</v>
      </c>
      <c r="H33" s="2" t="s">
        <v>99</v>
      </c>
      <c r="I33" s="2" t="s">
        <v>36</v>
      </c>
      <c r="J33" s="32" t="s">
        <v>105</v>
      </c>
      <c r="K33" s="2" t="n">
        <v>5</v>
      </c>
    </row>
    <row r="34" customFormat="false" ht="15" hidden="false" customHeight="false" outlineLevel="0" collapsed="false">
      <c r="A34" s="2" t="s">
        <v>20</v>
      </c>
      <c r="B34" s="2" t="n">
        <v>4</v>
      </c>
      <c r="C34" s="9" t="n">
        <v>46265</v>
      </c>
      <c r="D34" s="2" t="n">
        <v>1</v>
      </c>
      <c r="E34" s="3" t="s">
        <v>85</v>
      </c>
      <c r="F34" s="2" t="s">
        <v>21</v>
      </c>
      <c r="G34" s="2" t="s">
        <v>86</v>
      </c>
      <c r="H34" s="2" t="s">
        <v>23</v>
      </c>
      <c r="I34" s="2" t="s">
        <v>25</v>
      </c>
      <c r="J34" s="32" t="s">
        <v>112</v>
      </c>
      <c r="K34" s="2" t="n">
        <v>2</v>
      </c>
    </row>
    <row r="35" customFormat="false" ht="15" hidden="false" customHeight="false" outlineLevel="0" collapsed="false">
      <c r="A35" s="2" t="s">
        <v>20</v>
      </c>
      <c r="B35" s="2" t="n">
        <v>4</v>
      </c>
      <c r="C35" s="9" t="n">
        <v>46265</v>
      </c>
      <c r="D35" s="2" t="n">
        <v>1</v>
      </c>
      <c r="E35" s="3" t="s">
        <v>85</v>
      </c>
      <c r="F35" s="2" t="s">
        <v>21</v>
      </c>
      <c r="G35" s="2" t="s">
        <v>86</v>
      </c>
      <c r="H35" s="2" t="s">
        <v>23</v>
      </c>
      <c r="I35" s="2" t="s">
        <v>25</v>
      </c>
      <c r="J35" s="32" t="s">
        <v>113</v>
      </c>
      <c r="K35" s="2" t="s">
        <v>88</v>
      </c>
    </row>
    <row r="36" customFormat="false" ht="15" hidden="false" customHeight="false" outlineLevel="0" collapsed="false">
      <c r="A36" s="2" t="s">
        <v>20</v>
      </c>
      <c r="B36" s="2" t="n">
        <v>4</v>
      </c>
      <c r="C36" s="9" t="n">
        <v>46265</v>
      </c>
      <c r="D36" s="2" t="n">
        <v>1</v>
      </c>
      <c r="E36" s="3" t="s">
        <v>85</v>
      </c>
      <c r="F36" s="2" t="s">
        <v>21</v>
      </c>
      <c r="G36" s="2" t="s">
        <v>86</v>
      </c>
      <c r="H36" s="2" t="s">
        <v>23</v>
      </c>
      <c r="I36" s="2" t="s">
        <v>25</v>
      </c>
      <c r="J36" s="2" t="s">
        <v>114</v>
      </c>
      <c r="K36" s="2" t="s">
        <v>88</v>
      </c>
    </row>
    <row r="37" customFormat="false" ht="15" hidden="false" customHeight="false" outlineLevel="0" collapsed="false">
      <c r="A37" s="2" t="s">
        <v>20</v>
      </c>
      <c r="B37" s="2" t="n">
        <v>4</v>
      </c>
      <c r="C37" s="9" t="n">
        <v>46265</v>
      </c>
      <c r="D37" s="2" t="n">
        <v>1</v>
      </c>
      <c r="E37" s="3" t="s">
        <v>85</v>
      </c>
      <c r="F37" s="2" t="s">
        <v>21</v>
      </c>
      <c r="G37" s="2" t="s">
        <v>86</v>
      </c>
      <c r="H37" s="2" t="s">
        <v>23</v>
      </c>
      <c r="I37" s="2" t="s">
        <v>25</v>
      </c>
      <c r="J37" s="32" t="s">
        <v>115</v>
      </c>
      <c r="K37" s="2" t="n">
        <v>30</v>
      </c>
    </row>
    <row r="38" customFormat="false" ht="15" hidden="false" customHeight="false" outlineLevel="0" collapsed="false">
      <c r="A38" s="2" t="s">
        <v>20</v>
      </c>
      <c r="B38" s="2" t="n">
        <v>4</v>
      </c>
      <c r="C38" s="9" t="n">
        <v>46265</v>
      </c>
      <c r="D38" s="2" t="n">
        <v>1</v>
      </c>
      <c r="E38" s="3" t="s">
        <v>85</v>
      </c>
      <c r="F38" s="2" t="s">
        <v>21</v>
      </c>
      <c r="G38" s="2" t="s">
        <v>86</v>
      </c>
      <c r="H38" s="2" t="s">
        <v>23</v>
      </c>
      <c r="I38" s="2" t="s">
        <v>25</v>
      </c>
      <c r="J38" s="32" t="s">
        <v>116</v>
      </c>
      <c r="K38" s="2" t="s">
        <v>88</v>
      </c>
    </row>
    <row r="39" customFormat="false" ht="15" hidden="false" customHeight="false" outlineLevel="0" collapsed="false">
      <c r="A39" s="2" t="s">
        <v>20</v>
      </c>
      <c r="B39" s="2" t="n">
        <v>4</v>
      </c>
      <c r="C39" s="9" t="n">
        <v>46265</v>
      </c>
      <c r="D39" s="2" t="n">
        <v>1</v>
      </c>
      <c r="E39" s="3" t="s">
        <v>85</v>
      </c>
      <c r="F39" s="2" t="s">
        <v>21</v>
      </c>
      <c r="G39" s="2" t="s">
        <v>86</v>
      </c>
      <c r="H39" s="2" t="s">
        <v>23</v>
      </c>
      <c r="I39" s="2" t="s">
        <v>25</v>
      </c>
      <c r="J39" s="32" t="s">
        <v>117</v>
      </c>
      <c r="K39" s="2" t="n">
        <v>2</v>
      </c>
    </row>
    <row r="40" customFormat="false" ht="15" hidden="false" customHeight="false" outlineLevel="0" collapsed="false">
      <c r="A40" s="2" t="s">
        <v>20</v>
      </c>
      <c r="B40" s="2" t="n">
        <v>4</v>
      </c>
      <c r="C40" s="9" t="n">
        <v>46265</v>
      </c>
      <c r="D40" s="2" t="n">
        <v>1</v>
      </c>
      <c r="E40" s="3" t="s">
        <v>85</v>
      </c>
      <c r="F40" s="2" t="s">
        <v>21</v>
      </c>
      <c r="G40" s="2" t="s">
        <v>86</v>
      </c>
      <c r="H40" s="2" t="s">
        <v>23</v>
      </c>
      <c r="I40" s="2" t="s">
        <v>25</v>
      </c>
      <c r="J40" s="32" t="s">
        <v>118</v>
      </c>
      <c r="K40" s="2" t="n">
        <v>7</v>
      </c>
    </row>
    <row r="41" customFormat="false" ht="15" hidden="false" customHeight="false" outlineLevel="0" collapsed="false">
      <c r="A41" s="2" t="s">
        <v>20</v>
      </c>
      <c r="B41" s="2" t="n">
        <v>4</v>
      </c>
      <c r="C41" s="9" t="n">
        <v>46265</v>
      </c>
      <c r="D41" s="2" t="n">
        <v>1</v>
      </c>
      <c r="E41" s="3" t="s">
        <v>85</v>
      </c>
      <c r="F41" s="2" t="s">
        <v>21</v>
      </c>
      <c r="G41" s="2" t="s">
        <v>86</v>
      </c>
      <c r="H41" s="2" t="s">
        <v>23</v>
      </c>
      <c r="I41" s="2" t="s">
        <v>25</v>
      </c>
      <c r="J41" s="32" t="s">
        <v>119</v>
      </c>
      <c r="K41" s="2" t="s">
        <v>88</v>
      </c>
    </row>
    <row r="42" customFormat="false" ht="15" hidden="false" customHeight="false" outlineLevel="0" collapsed="false">
      <c r="A42" s="2" t="s">
        <v>20</v>
      </c>
      <c r="B42" s="2" t="n">
        <v>4</v>
      </c>
      <c r="C42" s="9" t="n">
        <v>46265</v>
      </c>
      <c r="D42" s="2" t="n">
        <v>1</v>
      </c>
      <c r="E42" s="3" t="s">
        <v>85</v>
      </c>
      <c r="F42" s="2" t="s">
        <v>21</v>
      </c>
      <c r="G42" s="2" t="s">
        <v>86</v>
      </c>
      <c r="H42" s="2" t="s">
        <v>23</v>
      </c>
      <c r="I42" s="2" t="s">
        <v>25</v>
      </c>
      <c r="J42" s="32" t="s">
        <v>120</v>
      </c>
      <c r="K42" s="2" t="s">
        <v>88</v>
      </c>
    </row>
    <row r="43" customFormat="false" ht="15" hidden="false" customHeight="false" outlineLevel="0" collapsed="false">
      <c r="A43" s="2" t="s">
        <v>20</v>
      </c>
      <c r="B43" s="2" t="n">
        <v>4</v>
      </c>
      <c r="C43" s="33" t="n">
        <v>46265</v>
      </c>
      <c r="D43" s="2" t="n">
        <v>2</v>
      </c>
      <c r="E43" s="2" t="s">
        <v>26</v>
      </c>
      <c r="F43" s="2" t="s">
        <v>27</v>
      </c>
      <c r="G43" s="2" t="s">
        <v>28</v>
      </c>
      <c r="H43" s="2" t="s">
        <v>95</v>
      </c>
      <c r="I43" s="2" t="s">
        <v>30</v>
      </c>
      <c r="J43" s="2" t="s">
        <v>87</v>
      </c>
      <c r="K43" s="2" t="n">
        <v>50</v>
      </c>
    </row>
    <row r="44" customFormat="false" ht="15" hidden="false" customHeight="false" outlineLevel="0" collapsed="false">
      <c r="A44" s="2" t="s">
        <v>20</v>
      </c>
      <c r="B44" s="2" t="n">
        <v>4</v>
      </c>
      <c r="C44" s="33" t="n">
        <v>46265</v>
      </c>
      <c r="D44" s="2" t="n">
        <v>2</v>
      </c>
      <c r="E44" s="2" t="s">
        <v>26</v>
      </c>
      <c r="F44" s="2" t="s">
        <v>27</v>
      </c>
      <c r="G44" s="2" t="s">
        <v>28</v>
      </c>
      <c r="H44" s="2" t="s">
        <v>95</v>
      </c>
      <c r="I44" s="2" t="s">
        <v>30</v>
      </c>
      <c r="J44" s="32" t="s">
        <v>121</v>
      </c>
      <c r="K44" s="2" t="n">
        <v>1</v>
      </c>
    </row>
    <row r="45" customFormat="false" ht="15" hidden="false" customHeight="false" outlineLevel="0" collapsed="false">
      <c r="A45" s="2" t="s">
        <v>20</v>
      </c>
      <c r="B45" s="2" t="n">
        <v>4</v>
      </c>
      <c r="C45" s="33" t="n">
        <v>46265</v>
      </c>
      <c r="D45" s="2" t="n">
        <v>2</v>
      </c>
      <c r="E45" s="2" t="s">
        <v>26</v>
      </c>
      <c r="F45" s="2" t="s">
        <v>27</v>
      </c>
      <c r="G45" s="2" t="s">
        <v>28</v>
      </c>
      <c r="H45" s="2" t="s">
        <v>95</v>
      </c>
      <c r="I45" s="2" t="s">
        <v>30</v>
      </c>
      <c r="J45" s="32" t="s">
        <v>122</v>
      </c>
      <c r="K45" s="2" t="n">
        <v>3</v>
      </c>
    </row>
    <row r="46" customFormat="false" ht="15" hidden="false" customHeight="false" outlineLevel="0" collapsed="false">
      <c r="A46" s="2" t="s">
        <v>20</v>
      </c>
      <c r="B46" s="2" t="n">
        <v>4</v>
      </c>
      <c r="C46" s="33" t="n">
        <v>46265</v>
      </c>
      <c r="D46" s="2" t="n">
        <v>2</v>
      </c>
      <c r="E46" s="2" t="s">
        <v>26</v>
      </c>
      <c r="F46" s="2" t="s">
        <v>27</v>
      </c>
      <c r="G46" s="2" t="s">
        <v>28</v>
      </c>
      <c r="H46" s="2" t="s">
        <v>95</v>
      </c>
      <c r="I46" s="2" t="s">
        <v>30</v>
      </c>
      <c r="J46" s="32" t="s">
        <v>115</v>
      </c>
      <c r="K46" s="2" t="n">
        <v>10</v>
      </c>
    </row>
    <row r="47" customFormat="false" ht="15" hidden="false" customHeight="false" outlineLevel="0" collapsed="false">
      <c r="A47" s="2" t="s">
        <v>20</v>
      </c>
      <c r="B47" s="2" t="n">
        <v>4</v>
      </c>
      <c r="C47" s="33" t="n">
        <v>46265</v>
      </c>
      <c r="D47" s="2" t="n">
        <v>2</v>
      </c>
      <c r="E47" s="2" t="s">
        <v>26</v>
      </c>
      <c r="F47" s="2" t="s">
        <v>27</v>
      </c>
      <c r="G47" s="2" t="s">
        <v>28</v>
      </c>
      <c r="H47" s="2" t="s">
        <v>95</v>
      </c>
      <c r="I47" s="2" t="s">
        <v>30</v>
      </c>
      <c r="J47" s="32" t="s">
        <v>117</v>
      </c>
      <c r="K47" s="2" t="n">
        <v>2</v>
      </c>
    </row>
    <row r="48" customFormat="false" ht="15" hidden="false" customHeight="false" outlineLevel="0" collapsed="false">
      <c r="A48" s="2" t="s">
        <v>20</v>
      </c>
      <c r="B48" s="2" t="n">
        <v>4</v>
      </c>
      <c r="C48" s="33" t="n">
        <v>46265</v>
      </c>
      <c r="D48" s="2" t="n">
        <v>2</v>
      </c>
      <c r="E48" s="2" t="s">
        <v>26</v>
      </c>
      <c r="F48" s="2" t="s">
        <v>27</v>
      </c>
      <c r="G48" s="2" t="s">
        <v>28</v>
      </c>
      <c r="H48" s="2" t="s">
        <v>95</v>
      </c>
      <c r="I48" s="2" t="s">
        <v>30</v>
      </c>
      <c r="J48" s="32" t="s">
        <v>118</v>
      </c>
      <c r="K48" s="2" t="n">
        <v>10</v>
      </c>
    </row>
    <row r="49" customFormat="false" ht="15" hidden="false" customHeight="false" outlineLevel="0" collapsed="false">
      <c r="A49" s="2" t="s">
        <v>20</v>
      </c>
      <c r="B49" s="2" t="n">
        <v>4</v>
      </c>
      <c r="C49" s="9" t="n">
        <v>46265</v>
      </c>
      <c r="D49" s="2" t="n">
        <v>3</v>
      </c>
      <c r="E49" s="2" t="s">
        <v>33</v>
      </c>
      <c r="F49" s="2" t="s">
        <v>31</v>
      </c>
      <c r="G49" s="2" t="s">
        <v>32</v>
      </c>
      <c r="H49" s="2" t="s">
        <v>34</v>
      </c>
      <c r="I49" s="2" t="s">
        <v>25</v>
      </c>
      <c r="J49" s="32" t="s">
        <v>123</v>
      </c>
      <c r="K49" s="2" t="n">
        <v>5</v>
      </c>
    </row>
    <row r="50" customFormat="false" ht="15" hidden="false" customHeight="false" outlineLevel="0" collapsed="false">
      <c r="A50" s="2" t="s">
        <v>20</v>
      </c>
      <c r="B50" s="2" t="n">
        <v>4</v>
      </c>
      <c r="C50" s="9" t="n">
        <v>46265</v>
      </c>
      <c r="D50" s="2" t="n">
        <v>3</v>
      </c>
      <c r="E50" s="2" t="s">
        <v>33</v>
      </c>
      <c r="F50" s="2" t="s">
        <v>31</v>
      </c>
      <c r="G50" s="2" t="s">
        <v>32</v>
      </c>
      <c r="H50" s="2" t="s">
        <v>34</v>
      </c>
      <c r="I50" s="2" t="s">
        <v>25</v>
      </c>
      <c r="J50" s="2" t="s">
        <v>87</v>
      </c>
      <c r="K50" s="2" t="n">
        <v>70</v>
      </c>
    </row>
    <row r="51" customFormat="false" ht="15" hidden="false" customHeight="false" outlineLevel="0" collapsed="false">
      <c r="A51" s="2" t="s">
        <v>20</v>
      </c>
      <c r="B51" s="2" t="n">
        <v>4</v>
      </c>
      <c r="C51" s="9" t="n">
        <v>46265</v>
      </c>
      <c r="D51" s="2" t="n">
        <v>3</v>
      </c>
      <c r="E51" s="2" t="s">
        <v>33</v>
      </c>
      <c r="F51" s="2" t="s">
        <v>31</v>
      </c>
      <c r="G51" s="2" t="s">
        <v>32</v>
      </c>
      <c r="H51" s="2" t="s">
        <v>34</v>
      </c>
      <c r="I51" s="2" t="s">
        <v>25</v>
      </c>
      <c r="J51" s="32" t="s">
        <v>115</v>
      </c>
      <c r="K51" s="2" t="n">
        <v>10</v>
      </c>
    </row>
    <row r="52" customFormat="false" ht="15" hidden="false" customHeight="false" outlineLevel="0" collapsed="false">
      <c r="A52" s="2" t="s">
        <v>20</v>
      </c>
      <c r="B52" s="2" t="n">
        <v>4</v>
      </c>
      <c r="C52" s="9" t="n">
        <v>46265</v>
      </c>
      <c r="D52" s="2" t="n">
        <v>3</v>
      </c>
      <c r="E52" s="2" t="s">
        <v>33</v>
      </c>
      <c r="F52" s="2" t="s">
        <v>31</v>
      </c>
      <c r="G52" s="2" t="s">
        <v>32</v>
      </c>
      <c r="H52" s="2" t="s">
        <v>34</v>
      </c>
      <c r="I52" s="2" t="s">
        <v>25</v>
      </c>
      <c r="J52" s="32" t="s">
        <v>117</v>
      </c>
      <c r="K52" s="2" t="n">
        <v>1</v>
      </c>
    </row>
    <row r="53" customFormat="false" ht="15" hidden="false" customHeight="false" outlineLevel="0" collapsed="false">
      <c r="A53" s="2" t="s">
        <v>20</v>
      </c>
      <c r="B53" s="2" t="n">
        <v>4</v>
      </c>
      <c r="C53" s="9" t="n">
        <v>46265</v>
      </c>
      <c r="D53" s="2" t="n">
        <v>3</v>
      </c>
      <c r="E53" s="2" t="s">
        <v>33</v>
      </c>
      <c r="F53" s="2" t="s">
        <v>31</v>
      </c>
      <c r="G53" s="2" t="s">
        <v>32</v>
      </c>
      <c r="H53" s="2" t="s">
        <v>34</v>
      </c>
      <c r="I53" s="2" t="s">
        <v>25</v>
      </c>
      <c r="J53" s="32" t="s">
        <v>97</v>
      </c>
      <c r="K53" s="2" t="n">
        <v>1</v>
      </c>
    </row>
    <row r="54" customFormat="false" ht="15" hidden="false" customHeight="false" outlineLevel="0" collapsed="false">
      <c r="A54" s="2" t="s">
        <v>20</v>
      </c>
      <c r="B54" s="2" t="n">
        <v>4</v>
      </c>
      <c r="C54" s="9" t="n">
        <v>46265</v>
      </c>
      <c r="D54" s="2" t="n">
        <v>3</v>
      </c>
      <c r="E54" s="2" t="s">
        <v>33</v>
      </c>
      <c r="F54" s="2" t="s">
        <v>31</v>
      </c>
      <c r="G54" s="2" t="s">
        <v>32</v>
      </c>
      <c r="H54" s="2" t="s">
        <v>34</v>
      </c>
      <c r="I54" s="2" t="s">
        <v>25</v>
      </c>
      <c r="J54" s="32" t="s">
        <v>124</v>
      </c>
      <c r="K54" s="2" t="n">
        <v>1</v>
      </c>
    </row>
    <row r="55" customFormat="false" ht="15" hidden="false" customHeight="false" outlineLevel="0" collapsed="false">
      <c r="A55" s="2" t="s">
        <v>20</v>
      </c>
      <c r="B55" s="2" t="n">
        <v>4</v>
      </c>
      <c r="C55" s="9" t="n">
        <v>46265</v>
      </c>
      <c r="D55" s="2" t="n">
        <v>3</v>
      </c>
      <c r="E55" s="2" t="s">
        <v>33</v>
      </c>
      <c r="F55" s="2" t="s">
        <v>31</v>
      </c>
      <c r="G55" s="2" t="s">
        <v>32</v>
      </c>
      <c r="H55" s="2" t="s">
        <v>34</v>
      </c>
      <c r="I55" s="2" t="s">
        <v>25</v>
      </c>
      <c r="J55" s="32" t="s">
        <v>118</v>
      </c>
      <c r="K55" s="2" t="n">
        <v>1</v>
      </c>
    </row>
    <row r="56" customFormat="false" ht="15" hidden="false" customHeight="false" outlineLevel="0" collapsed="false">
      <c r="A56" s="2" t="s">
        <v>20</v>
      </c>
      <c r="B56" s="2" t="n">
        <v>4</v>
      </c>
      <c r="C56" s="9" t="n">
        <v>46265</v>
      </c>
      <c r="D56" s="2" t="n">
        <v>4</v>
      </c>
      <c r="E56" s="2" t="s">
        <v>35</v>
      </c>
      <c r="F56" s="2" t="s">
        <v>37</v>
      </c>
      <c r="G56" s="2" t="s">
        <v>38</v>
      </c>
      <c r="H56" s="2" t="s">
        <v>99</v>
      </c>
      <c r="I56" s="2" t="s">
        <v>36</v>
      </c>
      <c r="J56" s="2" t="s">
        <v>87</v>
      </c>
      <c r="K56" s="2" t="n">
        <v>90</v>
      </c>
    </row>
    <row r="57" customFormat="false" ht="15" hidden="false" customHeight="false" outlineLevel="0" collapsed="false">
      <c r="A57" s="2" t="s">
        <v>20</v>
      </c>
      <c r="B57" s="2" t="n">
        <v>4</v>
      </c>
      <c r="C57" s="9" t="n">
        <v>46265</v>
      </c>
      <c r="D57" s="2" t="n">
        <v>4</v>
      </c>
      <c r="E57" s="2" t="s">
        <v>35</v>
      </c>
      <c r="F57" s="2" t="s">
        <v>37</v>
      </c>
      <c r="G57" s="2" t="s">
        <v>38</v>
      </c>
      <c r="H57" s="2" t="s">
        <v>99</v>
      </c>
      <c r="I57" s="2" t="s">
        <v>36</v>
      </c>
      <c r="J57" s="32" t="s">
        <v>122</v>
      </c>
      <c r="K57" s="2" t="n">
        <v>0.5</v>
      </c>
    </row>
    <row r="58" customFormat="false" ht="15" hidden="false" customHeight="false" outlineLevel="0" collapsed="false">
      <c r="A58" s="2" t="s">
        <v>20</v>
      </c>
      <c r="B58" s="2" t="n">
        <v>4</v>
      </c>
      <c r="C58" s="9" t="n">
        <v>46265</v>
      </c>
      <c r="D58" s="2" t="n">
        <v>4</v>
      </c>
      <c r="E58" s="2" t="s">
        <v>35</v>
      </c>
      <c r="F58" s="2" t="s">
        <v>37</v>
      </c>
      <c r="G58" s="2" t="s">
        <v>38</v>
      </c>
      <c r="H58" s="2" t="s">
        <v>99</v>
      </c>
      <c r="I58" s="2" t="s">
        <v>36</v>
      </c>
      <c r="J58" s="32" t="s">
        <v>115</v>
      </c>
      <c r="K58" s="2" t="n">
        <v>6</v>
      </c>
    </row>
    <row r="59" customFormat="false" ht="15" hidden="false" customHeight="false" outlineLevel="0" collapsed="false">
      <c r="A59" s="2" t="s">
        <v>20</v>
      </c>
      <c r="B59" s="2" t="n">
        <v>4</v>
      </c>
      <c r="C59" s="9" t="n">
        <v>46265</v>
      </c>
      <c r="D59" s="2" t="n">
        <v>4</v>
      </c>
      <c r="E59" s="2" t="s">
        <v>35</v>
      </c>
      <c r="F59" s="2" t="s">
        <v>37</v>
      </c>
      <c r="G59" s="2" t="s">
        <v>38</v>
      </c>
      <c r="H59" s="2" t="s">
        <v>99</v>
      </c>
      <c r="I59" s="2" t="s">
        <v>36</v>
      </c>
      <c r="J59" s="32" t="s">
        <v>117</v>
      </c>
      <c r="K59" s="2" t="n">
        <v>2</v>
      </c>
    </row>
    <row r="60" customFormat="false" ht="15" hidden="false" customHeight="false" outlineLevel="0" collapsed="false">
      <c r="A60" s="2" t="s">
        <v>20</v>
      </c>
      <c r="B60" s="2" t="n">
        <v>4</v>
      </c>
      <c r="C60" s="9" t="n">
        <v>46265</v>
      </c>
      <c r="D60" s="2" t="n">
        <v>4</v>
      </c>
      <c r="E60" s="2" t="s">
        <v>35</v>
      </c>
      <c r="F60" s="2" t="s">
        <v>37</v>
      </c>
      <c r="G60" s="2" t="s">
        <v>38</v>
      </c>
      <c r="H60" s="2" t="s">
        <v>99</v>
      </c>
      <c r="I60" s="2" t="s">
        <v>36</v>
      </c>
      <c r="J60" s="32" t="s">
        <v>97</v>
      </c>
      <c r="K60" s="2" t="n">
        <v>1</v>
      </c>
    </row>
    <row r="61" customFormat="false" ht="15" hidden="false" customHeight="false" outlineLevel="0" collapsed="false">
      <c r="A61" s="2" t="s">
        <v>20</v>
      </c>
      <c r="B61" s="2" t="n">
        <v>4</v>
      </c>
      <c r="C61" s="9" t="n">
        <v>46265</v>
      </c>
      <c r="D61" s="2" t="n">
        <v>4</v>
      </c>
      <c r="E61" s="2" t="s">
        <v>35</v>
      </c>
      <c r="F61" s="2" t="s">
        <v>37</v>
      </c>
      <c r="G61" s="2" t="s">
        <v>38</v>
      </c>
      <c r="H61" s="2" t="s">
        <v>99</v>
      </c>
      <c r="I61" s="2" t="s">
        <v>36</v>
      </c>
      <c r="J61" s="32" t="s">
        <v>118</v>
      </c>
      <c r="K61" s="2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7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AC3" activeCellId="0" sqref="AC3"/>
    </sheetView>
  </sheetViews>
  <sheetFormatPr defaultColWidth="10.8359375" defaultRowHeight="15" zeroHeight="false" outlineLevelRow="0" outlineLevelCol="0"/>
  <cols>
    <col collapsed="false" customWidth="false" hidden="false" outlineLevel="0" max="4" min="1" style="2" width="10.83"/>
    <col collapsed="false" customWidth="true" hidden="false" outlineLevel="0" max="5" min="5" style="2" width="13.84"/>
    <col collapsed="false" customWidth="true" hidden="false" outlineLevel="0" max="6" min="6" style="2" width="11.66"/>
    <col collapsed="false" customWidth="true" hidden="false" outlineLevel="0" max="7" min="7" style="2" width="14.16"/>
    <col collapsed="false" customWidth="true" hidden="false" outlineLevel="0" max="8" min="8" style="2" width="10.17"/>
    <col collapsed="false" customWidth="false" hidden="false" outlineLevel="0" max="10" min="9" style="2" width="10.83"/>
    <col collapsed="false" customWidth="true" hidden="false" outlineLevel="0" max="11" min="11" style="2" width="41.84"/>
    <col collapsed="false" customWidth="false" hidden="false" outlineLevel="0" max="16384" min="12" style="2" width="10.83"/>
  </cols>
  <sheetData>
    <row r="1" customFormat="false" ht="18.75" hidden="false" customHeight="true" outlineLevel="0" collapsed="false">
      <c r="A1" s="34"/>
      <c r="B1" s="35"/>
      <c r="C1" s="35"/>
      <c r="D1" s="36"/>
      <c r="E1" s="37"/>
      <c r="F1" s="38"/>
      <c r="G1" s="38"/>
      <c r="H1" s="38"/>
      <c r="I1" s="39"/>
      <c r="J1" s="35"/>
      <c r="K1" s="40"/>
      <c r="L1" s="41"/>
      <c r="M1" s="42"/>
      <c r="N1" s="43"/>
      <c r="O1" s="44" t="s">
        <v>125</v>
      </c>
      <c r="P1" s="44"/>
      <c r="Q1" s="44"/>
      <c r="R1" s="44"/>
      <c r="S1" s="44"/>
      <c r="T1" s="44"/>
      <c r="U1" s="44"/>
      <c r="V1" s="45" t="s">
        <v>126</v>
      </c>
      <c r="W1" s="45"/>
      <c r="X1" s="45"/>
      <c r="Y1" s="45"/>
      <c r="Z1" s="45"/>
      <c r="AA1" s="45"/>
      <c r="AB1" s="45"/>
    </row>
    <row r="2" customFormat="false" ht="47.25" hidden="false" customHeight="true" outlineLevel="0" collapsed="false">
      <c r="A2" s="46" t="s">
        <v>11</v>
      </c>
      <c r="B2" s="47" t="s">
        <v>0</v>
      </c>
      <c r="C2" s="47" t="s">
        <v>12</v>
      </c>
      <c r="D2" s="48" t="s">
        <v>13</v>
      </c>
      <c r="E2" s="49" t="s">
        <v>14</v>
      </c>
      <c r="F2" s="50" t="s">
        <v>15</v>
      </c>
      <c r="G2" s="50" t="s">
        <v>16</v>
      </c>
      <c r="H2" s="50" t="s">
        <v>17</v>
      </c>
      <c r="I2" s="51" t="s">
        <v>18</v>
      </c>
      <c r="J2" s="52" t="s">
        <v>127</v>
      </c>
      <c r="K2" s="53" t="s">
        <v>128</v>
      </c>
      <c r="L2" s="54" t="s">
        <v>129</v>
      </c>
      <c r="M2" s="55" t="s">
        <v>130</v>
      </c>
      <c r="N2" s="56" t="s">
        <v>131</v>
      </c>
      <c r="O2" s="57" t="s">
        <v>132</v>
      </c>
      <c r="P2" s="58" t="s">
        <v>133</v>
      </c>
      <c r="Q2" s="58" t="s">
        <v>134</v>
      </c>
      <c r="R2" s="58" t="s">
        <v>135</v>
      </c>
      <c r="S2" s="58" t="s">
        <v>136</v>
      </c>
      <c r="T2" s="58" t="s">
        <v>137</v>
      </c>
      <c r="U2" s="59" t="s">
        <v>138</v>
      </c>
      <c r="V2" s="60" t="s">
        <v>132</v>
      </c>
      <c r="W2" s="61" t="s">
        <v>133</v>
      </c>
      <c r="X2" s="61" t="s">
        <v>134</v>
      </c>
      <c r="Y2" s="61" t="s">
        <v>135</v>
      </c>
      <c r="Z2" s="61" t="s">
        <v>136</v>
      </c>
      <c r="AA2" s="61" t="s">
        <v>137</v>
      </c>
      <c r="AB2" s="62" t="s">
        <v>138</v>
      </c>
    </row>
    <row r="3" customFormat="false" ht="15" hidden="false" customHeight="false" outlineLevel="0" collapsed="false">
      <c r="A3" s="2" t="s">
        <v>20</v>
      </c>
      <c r="B3" s="2" t="n">
        <v>1</v>
      </c>
      <c r="C3" s="9" t="n">
        <v>46264</v>
      </c>
      <c r="D3" s="2" t="n">
        <v>1</v>
      </c>
      <c r="E3" s="2" t="s">
        <v>85</v>
      </c>
      <c r="F3" s="2" t="s">
        <v>21</v>
      </c>
      <c r="G3" s="2" t="s">
        <v>86</v>
      </c>
      <c r="H3" s="2" t="s">
        <v>23</v>
      </c>
      <c r="I3" s="2" t="s">
        <v>25</v>
      </c>
      <c r="J3" s="2" t="n">
        <v>6</v>
      </c>
      <c r="K3" s="32" t="s">
        <v>97</v>
      </c>
      <c r="L3" s="15" t="n">
        <f aca="false">SUM(V3:AB3)</f>
        <v>0.0113097335529233</v>
      </c>
      <c r="M3" s="15" t="n">
        <f aca="false">MAX(O3:U3)</f>
        <v>12</v>
      </c>
      <c r="N3" s="15" t="n">
        <f aca="false">COUNTIF(M3,"&gt;9.9")</f>
        <v>1</v>
      </c>
      <c r="O3" s="2" t="n">
        <v>12</v>
      </c>
      <c r="V3" s="15" t="n">
        <f aca="false">PI()*POWER((O3/200),2)</f>
        <v>0.0113097335529233</v>
      </c>
      <c r="W3" s="15" t="n">
        <f aca="false">PI()*POWER((P3/200),2)</f>
        <v>0</v>
      </c>
      <c r="X3" s="15" t="n">
        <f aca="false">PI()*POWER((Q3/200),2)</f>
        <v>0</v>
      </c>
      <c r="Y3" s="15" t="n">
        <f aca="false">PI()*POWER((R3/200),2)</f>
        <v>0</v>
      </c>
      <c r="Z3" s="15" t="n">
        <f aca="false">PI()*POWER((S3/200),2)</f>
        <v>0</v>
      </c>
      <c r="AA3" s="15" t="n">
        <f aca="false">PI()*POWER((T3/200),2)</f>
        <v>0</v>
      </c>
      <c r="AB3" s="15" t="n">
        <f aca="false">PI()*POWER((U3/200),2)</f>
        <v>0</v>
      </c>
    </row>
    <row r="4" customFormat="false" ht="15" hidden="false" customHeight="false" outlineLevel="0" collapsed="false">
      <c r="A4" s="2" t="s">
        <v>20</v>
      </c>
      <c r="B4" s="2" t="n">
        <v>1</v>
      </c>
      <c r="C4" s="9" t="n">
        <v>46264</v>
      </c>
      <c r="D4" s="2" t="n">
        <v>1</v>
      </c>
      <c r="E4" s="2" t="s">
        <v>85</v>
      </c>
      <c r="F4" s="2" t="s">
        <v>21</v>
      </c>
      <c r="G4" s="2" t="s">
        <v>86</v>
      </c>
      <c r="H4" s="2" t="s">
        <v>23</v>
      </c>
      <c r="I4" s="2" t="s">
        <v>25</v>
      </c>
      <c r="J4" s="2" t="n">
        <v>10</v>
      </c>
      <c r="K4" s="32" t="s">
        <v>97</v>
      </c>
      <c r="L4" s="15" t="n">
        <f aca="false">SUM(V4:AB4)</f>
        <v>0.0201061929829747</v>
      </c>
      <c r="M4" s="15" t="n">
        <f aca="false">MAX(O4:U4)</f>
        <v>16</v>
      </c>
      <c r="N4" s="15" t="n">
        <f aca="false">COUNTIF(M4,"&gt;9.9")</f>
        <v>1</v>
      </c>
      <c r="O4" s="2" t="n">
        <v>16</v>
      </c>
      <c r="V4" s="15" t="n">
        <f aca="false">PI()*POWER((O4/200),2)</f>
        <v>0.0201061929829747</v>
      </c>
      <c r="W4" s="15" t="n">
        <f aca="false">PI()*POWER((P4/200),2)</f>
        <v>0</v>
      </c>
      <c r="X4" s="15" t="n">
        <f aca="false">PI()*POWER((Q4/200),2)</f>
        <v>0</v>
      </c>
      <c r="Y4" s="15" t="n">
        <f aca="false">PI()*POWER((R4/200),2)</f>
        <v>0</v>
      </c>
      <c r="Z4" s="15" t="n">
        <f aca="false">PI()*POWER((S4/200),2)</f>
        <v>0</v>
      </c>
      <c r="AA4" s="15" t="n">
        <f aca="false">PI()*POWER((T4/200),2)</f>
        <v>0</v>
      </c>
      <c r="AB4" s="15" t="n">
        <f aca="false">PI()*POWER((U4/200),2)</f>
        <v>0</v>
      </c>
    </row>
    <row r="5" customFormat="false" ht="15" hidden="false" customHeight="false" outlineLevel="0" collapsed="false">
      <c r="A5" s="2" t="s">
        <v>20</v>
      </c>
      <c r="B5" s="2" t="n">
        <v>1</v>
      </c>
      <c r="C5" s="9" t="n">
        <v>46264</v>
      </c>
      <c r="D5" s="2" t="n">
        <v>1</v>
      </c>
      <c r="E5" s="2" t="s">
        <v>85</v>
      </c>
      <c r="F5" s="2" t="s">
        <v>21</v>
      </c>
      <c r="G5" s="2" t="s">
        <v>86</v>
      </c>
      <c r="H5" s="2" t="s">
        <v>23</v>
      </c>
      <c r="I5" s="2" t="s">
        <v>25</v>
      </c>
      <c r="J5" s="2" t="n">
        <v>16</v>
      </c>
      <c r="K5" s="32" t="s">
        <v>97</v>
      </c>
      <c r="L5" s="15" t="n">
        <f aca="false">SUM(V5:AB5)</f>
        <v>0.0201061929829747</v>
      </c>
      <c r="M5" s="15" t="n">
        <f aca="false">MAX(O5:U5)</f>
        <v>16</v>
      </c>
      <c r="N5" s="15" t="n">
        <f aca="false">COUNTIF(M5,"&gt;9.9")</f>
        <v>1</v>
      </c>
      <c r="O5" s="2" t="n">
        <v>16</v>
      </c>
      <c r="V5" s="15" t="n">
        <f aca="false">PI()*POWER((O5/200),2)</f>
        <v>0.0201061929829747</v>
      </c>
      <c r="W5" s="15" t="n">
        <f aca="false">PI()*POWER((P5/200),2)</f>
        <v>0</v>
      </c>
      <c r="X5" s="15" t="n">
        <f aca="false">PI()*POWER((Q5/200),2)</f>
        <v>0</v>
      </c>
      <c r="Y5" s="15" t="n">
        <f aca="false">PI()*POWER((R5/200),2)</f>
        <v>0</v>
      </c>
      <c r="Z5" s="15" t="n">
        <f aca="false">PI()*POWER((S5/200),2)</f>
        <v>0</v>
      </c>
      <c r="AA5" s="15" t="n">
        <f aca="false">PI()*POWER((T5/200),2)</f>
        <v>0</v>
      </c>
      <c r="AB5" s="15" t="n">
        <f aca="false">PI()*POWER((U5/200),2)</f>
        <v>0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v>46264</v>
      </c>
      <c r="D6" s="2" t="n">
        <v>1</v>
      </c>
      <c r="E6" s="2" t="s">
        <v>85</v>
      </c>
      <c r="F6" s="2" t="s">
        <v>21</v>
      </c>
      <c r="G6" s="2" t="s">
        <v>86</v>
      </c>
      <c r="H6" s="2" t="s">
        <v>23</v>
      </c>
      <c r="I6" s="2" t="s">
        <v>25</v>
      </c>
      <c r="J6" s="2" t="n">
        <v>14</v>
      </c>
      <c r="K6" s="32" t="s">
        <v>97</v>
      </c>
      <c r="L6" s="15" t="n">
        <f aca="false">SUM(V6:AB6)</f>
        <v>0.0314159265358979</v>
      </c>
      <c r="M6" s="15" t="n">
        <f aca="false">MAX(O6:U6)</f>
        <v>20</v>
      </c>
      <c r="N6" s="15" t="n">
        <f aca="false">COUNTIF(M6,"&gt;9.9")</f>
        <v>1</v>
      </c>
      <c r="O6" s="2" t="n">
        <v>20</v>
      </c>
      <c r="V6" s="15" t="n">
        <f aca="false">PI()*POWER((O6/200),2)</f>
        <v>0.0314159265358979</v>
      </c>
      <c r="W6" s="15" t="n">
        <f aca="false">PI()*POWER((P6/200),2)</f>
        <v>0</v>
      </c>
      <c r="X6" s="15" t="n">
        <f aca="false">PI()*POWER((Q6/200),2)</f>
        <v>0</v>
      </c>
      <c r="Y6" s="15" t="n">
        <f aca="false">PI()*POWER((R6/200),2)</f>
        <v>0</v>
      </c>
      <c r="Z6" s="15" t="n">
        <f aca="false">PI()*POWER((S6/200),2)</f>
        <v>0</v>
      </c>
      <c r="AA6" s="15" t="n">
        <f aca="false">PI()*POWER((T6/200),2)</f>
        <v>0</v>
      </c>
      <c r="AB6" s="15" t="n">
        <f aca="false">PI()*POWER((U6/200),2)</f>
        <v>0</v>
      </c>
    </row>
    <row r="7" customFormat="false" ht="15" hidden="false" customHeight="false" outlineLevel="0" collapsed="false">
      <c r="A7" s="2" t="s">
        <v>20</v>
      </c>
      <c r="B7" s="2" t="n">
        <v>1</v>
      </c>
      <c r="C7" s="9" t="n">
        <v>46264</v>
      </c>
      <c r="D7" s="2" t="n">
        <v>1</v>
      </c>
      <c r="E7" s="2" t="s">
        <v>85</v>
      </c>
      <c r="F7" s="2" t="s">
        <v>21</v>
      </c>
      <c r="G7" s="2" t="s">
        <v>86</v>
      </c>
      <c r="H7" s="2" t="s">
        <v>23</v>
      </c>
      <c r="I7" s="2" t="s">
        <v>25</v>
      </c>
      <c r="J7" s="2" t="n">
        <v>7</v>
      </c>
      <c r="K7" s="32" t="s">
        <v>97</v>
      </c>
      <c r="L7" s="15" t="n">
        <f aca="false">SUM(V7:AB7)</f>
        <v>0.0660519855417254</v>
      </c>
      <c r="M7" s="15" t="n">
        <f aca="false">MAX(O7:U7)</f>
        <v>21</v>
      </c>
      <c r="N7" s="15" t="n">
        <f aca="false">COUNTIF(M7,"&gt;9.9")</f>
        <v>1</v>
      </c>
      <c r="O7" s="2" t="n">
        <v>21</v>
      </c>
      <c r="P7" s="2" t="n">
        <v>20</v>
      </c>
      <c r="V7" s="15" t="n">
        <f aca="false">PI()*POWER((O7/200),2)</f>
        <v>0.0346360590058275</v>
      </c>
      <c r="W7" s="15" t="n">
        <f aca="false">PI()*POWER((P7/200),2)</f>
        <v>0.0314159265358979</v>
      </c>
      <c r="X7" s="15" t="n">
        <f aca="false">PI()*POWER((Q7/200),2)</f>
        <v>0</v>
      </c>
      <c r="Y7" s="15" t="n">
        <f aca="false">PI()*POWER((R7/200),2)</f>
        <v>0</v>
      </c>
      <c r="Z7" s="15" t="n">
        <f aca="false">PI()*POWER((S7/200),2)</f>
        <v>0</v>
      </c>
      <c r="AA7" s="15" t="n">
        <f aca="false">PI()*POWER((T7/200),2)</f>
        <v>0</v>
      </c>
      <c r="AB7" s="15" t="n">
        <f aca="false">PI()*POWER((U7/200),2)</f>
        <v>0</v>
      </c>
    </row>
    <row r="8" customFormat="false" ht="15" hidden="false" customHeight="false" outlineLevel="0" collapsed="false">
      <c r="A8" s="2" t="s">
        <v>20</v>
      </c>
      <c r="B8" s="2" t="n">
        <v>1</v>
      </c>
      <c r="C8" s="9" t="n">
        <v>46264</v>
      </c>
      <c r="D8" s="2" t="n">
        <v>1</v>
      </c>
      <c r="E8" s="2" t="s">
        <v>85</v>
      </c>
      <c r="F8" s="2" t="s">
        <v>21</v>
      </c>
      <c r="G8" s="2" t="s">
        <v>86</v>
      </c>
      <c r="H8" s="2" t="s">
        <v>23</v>
      </c>
      <c r="I8" s="2" t="s">
        <v>25</v>
      </c>
      <c r="J8" s="2" t="n">
        <v>15</v>
      </c>
      <c r="K8" s="32" t="s">
        <v>97</v>
      </c>
      <c r="L8" s="15" t="n">
        <f aca="false">SUM(V8:AB8)</f>
        <v>0.0380132711084365</v>
      </c>
      <c r="M8" s="15" t="n">
        <f aca="false">MAX(O8:U8)</f>
        <v>22</v>
      </c>
      <c r="N8" s="15" t="n">
        <f aca="false">COUNTIF(M8,"&gt;9.9")</f>
        <v>1</v>
      </c>
      <c r="O8" s="2" t="n">
        <v>22</v>
      </c>
      <c r="V8" s="15" t="n">
        <f aca="false">PI()*POWER((O8/200),2)</f>
        <v>0.0380132711084365</v>
      </c>
      <c r="W8" s="15" t="n">
        <f aca="false">PI()*POWER((P8/200),2)</f>
        <v>0</v>
      </c>
      <c r="X8" s="15" t="n">
        <f aca="false">PI()*POWER((Q8/200),2)</f>
        <v>0</v>
      </c>
      <c r="Y8" s="15" t="n">
        <f aca="false">PI()*POWER((R8/200),2)</f>
        <v>0</v>
      </c>
      <c r="Z8" s="15" t="n">
        <f aca="false">PI()*POWER((S8/200),2)</f>
        <v>0</v>
      </c>
      <c r="AA8" s="15" t="n">
        <f aca="false">PI()*POWER((T8/200),2)</f>
        <v>0</v>
      </c>
      <c r="AB8" s="15" t="n">
        <f aca="false">PI()*POWER((U8/200),2)</f>
        <v>0</v>
      </c>
    </row>
    <row r="9" customFormat="false" ht="15" hidden="false" customHeight="false" outlineLevel="0" collapsed="false">
      <c r="A9" s="2" t="s">
        <v>20</v>
      </c>
      <c r="B9" s="2" t="n">
        <v>1</v>
      </c>
      <c r="C9" s="9" t="n">
        <v>46264</v>
      </c>
      <c r="D9" s="2" t="n">
        <v>1</v>
      </c>
      <c r="E9" s="2" t="s">
        <v>85</v>
      </c>
      <c r="F9" s="2" t="s">
        <v>21</v>
      </c>
      <c r="G9" s="2" t="s">
        <v>86</v>
      </c>
      <c r="H9" s="2" t="s">
        <v>23</v>
      </c>
      <c r="I9" s="2" t="s">
        <v>25</v>
      </c>
      <c r="J9" s="2" t="n">
        <v>2</v>
      </c>
      <c r="K9" s="32" t="s">
        <v>97</v>
      </c>
      <c r="L9" s="15" t="n">
        <f aca="false">SUM(V9:AB9)</f>
        <v>0.0983318500573605</v>
      </c>
      <c r="M9" s="15" t="n">
        <f aca="false">MAX(O9:U9)</f>
        <v>26</v>
      </c>
      <c r="N9" s="15" t="n">
        <f aca="false">COUNTIF(M9,"&gt;9.9")</f>
        <v>1</v>
      </c>
      <c r="O9" s="2" t="n">
        <v>24</v>
      </c>
      <c r="P9" s="2" t="n">
        <v>26</v>
      </c>
      <c r="V9" s="15" t="n">
        <f aca="false">PI()*POWER((O9/200),2)</f>
        <v>0.045238934211693</v>
      </c>
      <c r="W9" s="15" t="n">
        <f aca="false">PI()*POWER((P9/200),2)</f>
        <v>0.0530929158456675</v>
      </c>
      <c r="X9" s="15" t="n">
        <f aca="false">PI()*POWER((Q9/200),2)</f>
        <v>0</v>
      </c>
      <c r="Y9" s="15" t="n">
        <f aca="false">PI()*POWER((R9/200),2)</f>
        <v>0</v>
      </c>
      <c r="Z9" s="15" t="n">
        <f aca="false">PI()*POWER((S9/200),2)</f>
        <v>0</v>
      </c>
      <c r="AA9" s="15" t="n">
        <f aca="false">PI()*POWER((T9/200),2)</f>
        <v>0</v>
      </c>
      <c r="AB9" s="15" t="n">
        <f aca="false">PI()*POWER((U9/200),2)</f>
        <v>0</v>
      </c>
    </row>
    <row r="10" customFormat="false" ht="15" hidden="false" customHeight="false" outlineLevel="0" collapsed="false">
      <c r="A10" s="2" t="s">
        <v>20</v>
      </c>
      <c r="B10" s="2" t="n">
        <v>1</v>
      </c>
      <c r="C10" s="9" t="n">
        <v>46264</v>
      </c>
      <c r="D10" s="2" t="n">
        <v>1</v>
      </c>
      <c r="E10" s="2" t="s">
        <v>85</v>
      </c>
      <c r="F10" s="2" t="s">
        <v>21</v>
      </c>
      <c r="G10" s="2" t="s">
        <v>86</v>
      </c>
      <c r="H10" s="2" t="s">
        <v>23</v>
      </c>
      <c r="I10" s="2" t="s">
        <v>25</v>
      </c>
      <c r="J10" s="2" t="n">
        <v>9</v>
      </c>
      <c r="K10" s="32" t="s">
        <v>97</v>
      </c>
      <c r="L10" s="15" t="n">
        <f aca="false">SUM(V10:AB10)</f>
        <v>0.102180301058008</v>
      </c>
      <c r="M10" s="15" t="n">
        <f aca="false">MAX(O10:U10)</f>
        <v>26</v>
      </c>
      <c r="N10" s="15" t="n">
        <f aca="false">COUNTIF(M10,"&gt;9.9")</f>
        <v>1</v>
      </c>
      <c r="O10" s="2" t="n">
        <v>25</v>
      </c>
      <c r="P10" s="2" t="n">
        <v>26</v>
      </c>
      <c r="V10" s="15" t="n">
        <f aca="false">PI()*POWER((O10/200),2)</f>
        <v>0.0490873852123405</v>
      </c>
      <c r="W10" s="15" t="n">
        <f aca="false">PI()*POWER((P10/200),2)</f>
        <v>0.0530929158456675</v>
      </c>
      <c r="X10" s="15" t="n">
        <f aca="false">PI()*POWER((Q10/200),2)</f>
        <v>0</v>
      </c>
      <c r="Y10" s="15" t="n">
        <f aca="false">PI()*POWER((R10/200),2)</f>
        <v>0</v>
      </c>
      <c r="Z10" s="15" t="n">
        <f aca="false">PI()*POWER((S10/200),2)</f>
        <v>0</v>
      </c>
      <c r="AA10" s="15" t="n">
        <f aca="false">PI()*POWER((T10/200),2)</f>
        <v>0</v>
      </c>
      <c r="AB10" s="15" t="n">
        <f aca="false">PI()*POWER((U10/200),2)</f>
        <v>0</v>
      </c>
    </row>
    <row r="11" customFormat="false" ht="15" hidden="false" customHeight="false" outlineLevel="0" collapsed="false">
      <c r="A11" s="2" t="s">
        <v>20</v>
      </c>
      <c r="B11" s="2" t="n">
        <v>1</v>
      </c>
      <c r="C11" s="9" t="n">
        <v>46264</v>
      </c>
      <c r="D11" s="2" t="n">
        <v>1</v>
      </c>
      <c r="E11" s="2" t="s">
        <v>85</v>
      </c>
      <c r="F11" s="2" t="s">
        <v>21</v>
      </c>
      <c r="G11" s="2" t="s">
        <v>86</v>
      </c>
      <c r="H11" s="2" t="s">
        <v>23</v>
      </c>
      <c r="I11" s="2" t="s">
        <v>25</v>
      </c>
      <c r="J11" s="2" t="n">
        <v>5</v>
      </c>
      <c r="K11" s="32" t="s">
        <v>97</v>
      </c>
      <c r="L11" s="15" t="n">
        <f aca="false">SUM(V11:AB11)</f>
        <v>0.057255526111674</v>
      </c>
      <c r="M11" s="15" t="n">
        <f aca="false">MAX(O11:U11)</f>
        <v>27</v>
      </c>
      <c r="N11" s="15" t="n">
        <f aca="false">COUNTIF(M11,"&gt;9.9")</f>
        <v>1</v>
      </c>
      <c r="O11" s="2" t="n">
        <v>27</v>
      </c>
      <c r="V11" s="15" t="n">
        <f aca="false">PI()*POWER((O11/200),2)</f>
        <v>0.057255526111674</v>
      </c>
      <c r="W11" s="15" t="n">
        <f aca="false">PI()*POWER((P11/200),2)</f>
        <v>0</v>
      </c>
      <c r="X11" s="15" t="n">
        <f aca="false">PI()*POWER((Q11/200),2)</f>
        <v>0</v>
      </c>
      <c r="Y11" s="15" t="n">
        <f aca="false">PI()*POWER((R11/200),2)</f>
        <v>0</v>
      </c>
      <c r="Z11" s="15" t="n">
        <f aca="false">PI()*POWER((S11/200),2)</f>
        <v>0</v>
      </c>
      <c r="AA11" s="15" t="n">
        <f aca="false">PI()*POWER((T11/200),2)</f>
        <v>0</v>
      </c>
      <c r="AB11" s="15" t="n">
        <f aca="false">PI()*POWER((U11/200),2)</f>
        <v>0</v>
      </c>
    </row>
    <row r="12" customFormat="false" ht="15" hidden="false" customHeight="false" outlineLevel="0" collapsed="false">
      <c r="A12" s="2" t="s">
        <v>20</v>
      </c>
      <c r="B12" s="2" t="n">
        <v>1</v>
      </c>
      <c r="C12" s="9" t="n">
        <v>46264</v>
      </c>
      <c r="D12" s="2" t="n">
        <v>1</v>
      </c>
      <c r="E12" s="2" t="s">
        <v>85</v>
      </c>
      <c r="F12" s="2" t="s">
        <v>21</v>
      </c>
      <c r="G12" s="2" t="s">
        <v>86</v>
      </c>
      <c r="H12" s="2" t="s">
        <v>23</v>
      </c>
      <c r="I12" s="2" t="s">
        <v>25</v>
      </c>
      <c r="J12" s="2" t="n">
        <v>12</v>
      </c>
      <c r="K12" s="32" t="s">
        <v>97</v>
      </c>
      <c r="L12" s="15" t="n">
        <f aca="false">SUM(V12:AB12)</f>
        <v>0.057255526111674</v>
      </c>
      <c r="M12" s="15" t="n">
        <f aca="false">MAX(O12:U12)</f>
        <v>27</v>
      </c>
      <c r="N12" s="15" t="n">
        <f aca="false">COUNTIF(M12,"&gt;9.9")</f>
        <v>1</v>
      </c>
      <c r="O12" s="2" t="n">
        <v>27</v>
      </c>
      <c r="V12" s="15" t="n">
        <f aca="false">PI()*POWER((O12/200),2)</f>
        <v>0.057255526111674</v>
      </c>
      <c r="W12" s="15" t="n">
        <f aca="false">PI()*POWER((P12/200),2)</f>
        <v>0</v>
      </c>
      <c r="X12" s="15" t="n">
        <f aca="false">PI()*POWER((Q12/200),2)</f>
        <v>0</v>
      </c>
      <c r="Y12" s="15" t="n">
        <f aca="false">PI()*POWER((R12/200),2)</f>
        <v>0</v>
      </c>
      <c r="Z12" s="15" t="n">
        <f aca="false">PI()*POWER((S12/200),2)</f>
        <v>0</v>
      </c>
      <c r="AA12" s="15" t="n">
        <f aca="false">PI()*POWER((T12/200),2)</f>
        <v>0</v>
      </c>
      <c r="AB12" s="15" t="n">
        <f aca="false">PI()*POWER((U12/200),2)</f>
        <v>0</v>
      </c>
    </row>
    <row r="13" customFormat="false" ht="15" hidden="false" customHeight="false" outlineLevel="0" collapsed="false">
      <c r="A13" s="2" t="s">
        <v>20</v>
      </c>
      <c r="B13" s="2" t="n">
        <v>1</v>
      </c>
      <c r="C13" s="9" t="n">
        <v>46264</v>
      </c>
      <c r="D13" s="2" t="n">
        <v>1</v>
      </c>
      <c r="E13" s="2" t="s">
        <v>85</v>
      </c>
      <c r="F13" s="2" t="s">
        <v>21</v>
      </c>
      <c r="G13" s="2" t="s">
        <v>86</v>
      </c>
      <c r="H13" s="2" t="s">
        <v>23</v>
      </c>
      <c r="I13" s="2" t="s">
        <v>25</v>
      </c>
      <c r="J13" s="2" t="n">
        <v>20</v>
      </c>
      <c r="K13" s="32" t="s">
        <v>97</v>
      </c>
      <c r="L13" s="15" t="n">
        <f aca="false">SUM(V13:AB13)</f>
        <v>0.06157521601036</v>
      </c>
      <c r="M13" s="15" t="n">
        <f aca="false">MAX(O13:U13)</f>
        <v>28</v>
      </c>
      <c r="N13" s="15" t="n">
        <f aca="false">COUNTIF(M13,"&gt;9.9")</f>
        <v>1</v>
      </c>
      <c r="O13" s="2" t="n">
        <v>28</v>
      </c>
      <c r="V13" s="15" t="n">
        <f aca="false">PI()*POWER((O13/200),2)</f>
        <v>0.06157521601036</v>
      </c>
      <c r="W13" s="15" t="n">
        <f aca="false">PI()*POWER((P13/200),2)</f>
        <v>0</v>
      </c>
      <c r="X13" s="15" t="n">
        <f aca="false">PI()*POWER((Q13/200),2)</f>
        <v>0</v>
      </c>
      <c r="Y13" s="15" t="n">
        <f aca="false">PI()*POWER((R13/200),2)</f>
        <v>0</v>
      </c>
      <c r="Z13" s="15" t="n">
        <f aca="false">PI()*POWER((S13/200),2)</f>
        <v>0</v>
      </c>
      <c r="AA13" s="15" t="n">
        <f aca="false">PI()*POWER((T13/200),2)</f>
        <v>0</v>
      </c>
      <c r="AB13" s="15" t="n">
        <f aca="false">PI()*POWER((U13/200),2)</f>
        <v>0</v>
      </c>
    </row>
    <row r="14" customFormat="false" ht="15" hidden="false" customHeight="false" outlineLevel="0" collapsed="false">
      <c r="A14" s="2" t="s">
        <v>20</v>
      </c>
      <c r="B14" s="2" t="n">
        <v>1</v>
      </c>
      <c r="C14" s="9" t="n">
        <v>46264</v>
      </c>
      <c r="D14" s="2" t="n">
        <v>1</v>
      </c>
      <c r="E14" s="2" t="s">
        <v>85</v>
      </c>
      <c r="F14" s="2" t="s">
        <v>21</v>
      </c>
      <c r="G14" s="2" t="s">
        <v>86</v>
      </c>
      <c r="H14" s="2" t="s">
        <v>23</v>
      </c>
      <c r="I14" s="2" t="s">
        <v>25</v>
      </c>
      <c r="J14" s="2" t="n">
        <v>22</v>
      </c>
      <c r="K14" s="32" t="s">
        <v>97</v>
      </c>
      <c r="L14" s="15" t="n">
        <f aca="false">SUM(V14:AB14)</f>
        <v>0.152210164066425</v>
      </c>
      <c r="M14" s="15" t="n">
        <f aca="false">MAX(O14:U14)</f>
        <v>28</v>
      </c>
      <c r="N14" s="15" t="n">
        <f aca="false">COUNTIF(M14,"&gt;9.9")</f>
        <v>1</v>
      </c>
      <c r="O14" s="2" t="n">
        <v>25</v>
      </c>
      <c r="P14" s="2" t="n">
        <v>23</v>
      </c>
      <c r="Q14" s="2" t="n">
        <v>28</v>
      </c>
      <c r="V14" s="15" t="n">
        <f aca="false">PI()*POWER((O14/200),2)</f>
        <v>0.0490873852123405</v>
      </c>
      <c r="W14" s="15" t="n">
        <f aca="false">PI()*POWER((P14/200),2)</f>
        <v>0.041547562843725</v>
      </c>
      <c r="X14" s="15" t="n">
        <f aca="false">PI()*POWER((Q14/200),2)</f>
        <v>0.06157521601036</v>
      </c>
      <c r="Y14" s="15" t="n">
        <f aca="false">PI()*POWER((R14/200),2)</f>
        <v>0</v>
      </c>
      <c r="Z14" s="15" t="n">
        <f aca="false">PI()*POWER((S14/200),2)</f>
        <v>0</v>
      </c>
      <c r="AA14" s="15" t="n">
        <f aca="false">PI()*POWER((T14/200),2)</f>
        <v>0</v>
      </c>
      <c r="AB14" s="15" t="n">
        <f aca="false">PI()*POWER((U14/200),2)</f>
        <v>0</v>
      </c>
    </row>
    <row r="15" customFormat="false" ht="15" hidden="false" customHeight="false" outlineLevel="0" collapsed="false">
      <c r="A15" s="2" t="s">
        <v>20</v>
      </c>
      <c r="B15" s="2" t="n">
        <v>1</v>
      </c>
      <c r="C15" s="9" t="n">
        <v>46264</v>
      </c>
      <c r="D15" s="2" t="n">
        <v>1</v>
      </c>
      <c r="E15" s="2" t="s">
        <v>85</v>
      </c>
      <c r="F15" s="2" t="s">
        <v>21</v>
      </c>
      <c r="G15" s="2" t="s">
        <v>86</v>
      </c>
      <c r="H15" s="2" t="s">
        <v>23</v>
      </c>
      <c r="I15" s="2" t="s">
        <v>25</v>
      </c>
      <c r="J15" s="2" t="n">
        <v>8</v>
      </c>
      <c r="K15" s="32" t="s">
        <v>97</v>
      </c>
      <c r="L15" s="15" t="n">
        <f aca="false">SUM(V15:AB15)</f>
        <v>0.14152874904422</v>
      </c>
      <c r="M15" s="15" t="n">
        <f aca="false">MAX(O15:U15)</f>
        <v>31</v>
      </c>
      <c r="N15" s="15" t="n">
        <f aca="false">COUNTIF(M15,"&gt;9.9")</f>
        <v>1</v>
      </c>
      <c r="O15" s="2" t="n">
        <v>29</v>
      </c>
      <c r="P15" s="2" t="n">
        <v>31</v>
      </c>
      <c r="V15" s="15" t="n">
        <f aca="false">PI()*POWER((O15/200),2)</f>
        <v>0.0660519855417254</v>
      </c>
      <c r="W15" s="15" t="n">
        <f aca="false">PI()*POWER((P15/200),2)</f>
        <v>0.0754767635024948</v>
      </c>
      <c r="X15" s="15" t="n">
        <f aca="false">PI()*POWER((Q15/200),2)</f>
        <v>0</v>
      </c>
      <c r="Y15" s="15" t="n">
        <f aca="false">PI()*POWER((R15/200),2)</f>
        <v>0</v>
      </c>
      <c r="Z15" s="15" t="n">
        <f aca="false">PI()*POWER((S15/200),2)</f>
        <v>0</v>
      </c>
      <c r="AA15" s="15" t="n">
        <f aca="false">PI()*POWER((T15/200),2)</f>
        <v>0</v>
      </c>
      <c r="AB15" s="15" t="n">
        <f aca="false">PI()*POWER((U15/200),2)</f>
        <v>0</v>
      </c>
    </row>
    <row r="16" customFormat="false" ht="15" hidden="false" customHeight="false" outlineLevel="0" collapsed="false">
      <c r="A16" s="2" t="s">
        <v>20</v>
      </c>
      <c r="B16" s="2" t="n">
        <v>1</v>
      </c>
      <c r="C16" s="9" t="n">
        <v>46264</v>
      </c>
      <c r="D16" s="2" t="n">
        <v>1</v>
      </c>
      <c r="E16" s="2" t="s">
        <v>85</v>
      </c>
      <c r="F16" s="2" t="s">
        <v>21</v>
      </c>
      <c r="G16" s="2" t="s">
        <v>86</v>
      </c>
      <c r="H16" s="2" t="s">
        <v>23</v>
      </c>
      <c r="I16" s="2" t="s">
        <v>25</v>
      </c>
      <c r="J16" s="2" t="n">
        <v>17</v>
      </c>
      <c r="K16" s="32" t="s">
        <v>97</v>
      </c>
      <c r="L16" s="15" t="n">
        <f aca="false">SUM(V16:AB16)</f>
        <v>0.0754767635024948</v>
      </c>
      <c r="M16" s="15" t="n">
        <f aca="false">MAX(O16:U16)</f>
        <v>31</v>
      </c>
      <c r="N16" s="15" t="n">
        <f aca="false">COUNTIF(M16,"&gt;9.9")</f>
        <v>1</v>
      </c>
      <c r="O16" s="2" t="n">
        <v>31</v>
      </c>
      <c r="V16" s="15" t="n">
        <f aca="false">PI()*POWER((O16/200),2)</f>
        <v>0.0754767635024948</v>
      </c>
      <c r="W16" s="15" t="n">
        <f aca="false">PI()*POWER((P16/200),2)</f>
        <v>0</v>
      </c>
      <c r="X16" s="15" t="n">
        <f aca="false">PI()*POWER((Q16/200),2)</f>
        <v>0</v>
      </c>
      <c r="Y16" s="15" t="n">
        <f aca="false">PI()*POWER((R16/200),2)</f>
        <v>0</v>
      </c>
      <c r="Z16" s="15" t="n">
        <f aca="false">PI()*POWER((S16/200),2)</f>
        <v>0</v>
      </c>
      <c r="AA16" s="15" t="n">
        <f aca="false">PI()*POWER((T16/200),2)</f>
        <v>0</v>
      </c>
      <c r="AB16" s="15" t="n">
        <f aca="false">PI()*POWER((U16/200),2)</f>
        <v>0</v>
      </c>
    </row>
    <row r="17" customFormat="false" ht="15" hidden="false" customHeight="false" outlineLevel="0" collapsed="false">
      <c r="A17" s="2" t="s">
        <v>20</v>
      </c>
      <c r="B17" s="2" t="n">
        <v>1</v>
      </c>
      <c r="C17" s="9" t="n">
        <v>46264</v>
      </c>
      <c r="D17" s="2" t="n">
        <v>1</v>
      </c>
      <c r="E17" s="2" t="s">
        <v>85</v>
      </c>
      <c r="F17" s="2" t="s">
        <v>21</v>
      </c>
      <c r="G17" s="2" t="s">
        <v>86</v>
      </c>
      <c r="H17" s="2" t="s">
        <v>23</v>
      </c>
      <c r="I17" s="2" t="s">
        <v>25</v>
      </c>
      <c r="J17" s="2" t="n">
        <v>21</v>
      </c>
      <c r="K17" s="32" t="s">
        <v>97</v>
      </c>
      <c r="L17" s="15" t="n">
        <f aca="false">SUM(V17:AB17)</f>
        <v>0.146476757473624</v>
      </c>
      <c r="M17" s="15" t="n">
        <f aca="false">MAX(O17:U17)</f>
        <v>32</v>
      </c>
      <c r="N17" s="15" t="n">
        <f aca="false">COUNTIF(M17,"&gt;9.9")</f>
        <v>1</v>
      </c>
      <c r="O17" s="2" t="n">
        <v>29</v>
      </c>
      <c r="P17" s="2" t="n">
        <v>32</v>
      </c>
      <c r="V17" s="15" t="n">
        <f aca="false">PI()*POWER((O17/200),2)</f>
        <v>0.0660519855417254</v>
      </c>
      <c r="W17" s="15" t="n">
        <f aca="false">PI()*POWER((P17/200),2)</f>
        <v>0.0804247719318987</v>
      </c>
      <c r="X17" s="15" t="n">
        <f aca="false">PI()*POWER((Q17/200),2)</f>
        <v>0</v>
      </c>
      <c r="Y17" s="15" t="n">
        <f aca="false">PI()*POWER((R17/200),2)</f>
        <v>0</v>
      </c>
      <c r="Z17" s="15" t="n">
        <f aca="false">PI()*POWER((S17/200),2)</f>
        <v>0</v>
      </c>
      <c r="AA17" s="15" t="n">
        <f aca="false">PI()*POWER((T17/200),2)</f>
        <v>0</v>
      </c>
      <c r="AB17" s="15" t="n">
        <f aca="false">PI()*POWER((U17/200),2)</f>
        <v>0</v>
      </c>
    </row>
    <row r="18" customFormat="false" ht="15" hidden="false" customHeight="false" outlineLevel="0" collapsed="false">
      <c r="A18" s="2" t="s">
        <v>20</v>
      </c>
      <c r="B18" s="2" t="n">
        <v>1</v>
      </c>
      <c r="C18" s="9" t="n">
        <v>46264</v>
      </c>
      <c r="D18" s="2" t="n">
        <v>1</v>
      </c>
      <c r="E18" s="2" t="s">
        <v>85</v>
      </c>
      <c r="F18" s="2" t="s">
        <v>21</v>
      </c>
      <c r="G18" s="2" t="s">
        <v>86</v>
      </c>
      <c r="H18" s="2" t="s">
        <v>23</v>
      </c>
      <c r="I18" s="2" t="s">
        <v>25</v>
      </c>
      <c r="J18" s="2" t="n">
        <v>4</v>
      </c>
      <c r="K18" s="32" t="s">
        <v>97</v>
      </c>
      <c r="L18" s="15" t="n">
        <f aca="false">SUM(V18:AB18)</f>
        <v>0.101787601976309</v>
      </c>
      <c r="M18" s="15" t="n">
        <f aca="false">MAX(O18:U18)</f>
        <v>36</v>
      </c>
      <c r="N18" s="15" t="n">
        <f aca="false">COUNTIF(M18,"&gt;9.9")</f>
        <v>1</v>
      </c>
      <c r="O18" s="2" t="n">
        <v>36</v>
      </c>
      <c r="V18" s="15" t="n">
        <f aca="false">PI()*POWER((O18/200),2)</f>
        <v>0.101787601976309</v>
      </c>
      <c r="W18" s="15" t="n">
        <f aca="false">PI()*POWER((P18/200),2)</f>
        <v>0</v>
      </c>
      <c r="X18" s="15" t="n">
        <f aca="false">PI()*POWER((Q18/200),2)</f>
        <v>0</v>
      </c>
      <c r="Y18" s="15" t="n">
        <f aca="false">PI()*POWER((R18/200),2)</f>
        <v>0</v>
      </c>
      <c r="Z18" s="15" t="n">
        <f aca="false">PI()*POWER((S18/200),2)</f>
        <v>0</v>
      </c>
      <c r="AA18" s="15" t="n">
        <f aca="false">PI()*POWER((T18/200),2)</f>
        <v>0</v>
      </c>
      <c r="AB18" s="15" t="n">
        <f aca="false">PI()*POWER((U18/200),2)</f>
        <v>0</v>
      </c>
    </row>
    <row r="19" customFormat="false" ht="15" hidden="false" customHeight="false" outlineLevel="0" collapsed="false">
      <c r="A19" s="2" t="s">
        <v>20</v>
      </c>
      <c r="B19" s="2" t="n">
        <v>1</v>
      </c>
      <c r="C19" s="9" t="n">
        <v>46264</v>
      </c>
      <c r="D19" s="2" t="n">
        <v>1</v>
      </c>
      <c r="E19" s="2" t="s">
        <v>85</v>
      </c>
      <c r="F19" s="2" t="s">
        <v>21</v>
      </c>
      <c r="G19" s="2" t="s">
        <v>86</v>
      </c>
      <c r="H19" s="2" t="s">
        <v>23</v>
      </c>
      <c r="I19" s="2" t="s">
        <v>25</v>
      </c>
      <c r="J19" s="2" t="n">
        <v>1</v>
      </c>
      <c r="K19" s="32" t="s">
        <v>97</v>
      </c>
      <c r="L19" s="15" t="n">
        <f aca="false">SUM(V19:AB19)</f>
        <v>0.284471214782556</v>
      </c>
      <c r="M19" s="15" t="n">
        <f aca="false">MAX(O19:U19)</f>
        <v>38</v>
      </c>
      <c r="N19" s="15" t="n">
        <f aca="false">COUNTIF(M19,"&gt;9.9")</f>
        <v>1</v>
      </c>
      <c r="O19" s="2" t="n">
        <v>33</v>
      </c>
      <c r="P19" s="2" t="n">
        <v>38</v>
      </c>
      <c r="Q19" s="2" t="n">
        <v>33</v>
      </c>
      <c r="V19" s="15" t="n">
        <f aca="false">PI()*POWER((O19/200),2)</f>
        <v>0.0855298599939821</v>
      </c>
      <c r="W19" s="15" t="n">
        <f aca="false">PI()*POWER((P19/200),2)</f>
        <v>0.113411494794592</v>
      </c>
      <c r="X19" s="15" t="n">
        <f aca="false">PI()*POWER((Q19/200),2)</f>
        <v>0.0855298599939821</v>
      </c>
      <c r="Y19" s="15" t="n">
        <f aca="false">PI()*POWER((R19/200),2)</f>
        <v>0</v>
      </c>
      <c r="Z19" s="15" t="n">
        <f aca="false">PI()*POWER((S19/200),2)</f>
        <v>0</v>
      </c>
      <c r="AA19" s="15" t="n">
        <f aca="false">PI()*POWER((T19/200),2)</f>
        <v>0</v>
      </c>
      <c r="AB19" s="15" t="n">
        <f aca="false">PI()*POWER((U19/200),2)</f>
        <v>0</v>
      </c>
    </row>
    <row r="20" customFormat="false" ht="15" hidden="false" customHeight="false" outlineLevel="0" collapsed="false">
      <c r="A20" s="2" t="s">
        <v>20</v>
      </c>
      <c r="B20" s="2" t="n">
        <v>1</v>
      </c>
      <c r="C20" s="9" t="n">
        <v>46264</v>
      </c>
      <c r="D20" s="2" t="n">
        <v>1</v>
      </c>
      <c r="E20" s="2" t="s">
        <v>85</v>
      </c>
      <c r="F20" s="2" t="s">
        <v>21</v>
      </c>
      <c r="G20" s="2" t="s">
        <v>86</v>
      </c>
      <c r="H20" s="2" t="s">
        <v>23</v>
      </c>
      <c r="I20" s="2" t="s">
        <v>25</v>
      </c>
      <c r="J20" s="2" t="n">
        <v>13</v>
      </c>
      <c r="K20" s="32" t="s">
        <v>97</v>
      </c>
      <c r="L20" s="15" t="n">
        <f aca="false">SUM(V20:AB20)</f>
        <v>0.119459060652752</v>
      </c>
      <c r="M20" s="15" t="n">
        <f aca="false">MAX(O20:U20)</f>
        <v>39</v>
      </c>
      <c r="N20" s="15" t="n">
        <f aca="false">COUNTIF(M20,"&gt;9.9")</f>
        <v>1</v>
      </c>
      <c r="O20" s="2" t="n">
        <v>39</v>
      </c>
      <c r="V20" s="15" t="n">
        <f aca="false">PI()*POWER((O20/200),2)</f>
        <v>0.119459060652752</v>
      </c>
      <c r="W20" s="15" t="n">
        <f aca="false">PI()*POWER((P20/200),2)</f>
        <v>0</v>
      </c>
      <c r="X20" s="15" t="n">
        <f aca="false">PI()*POWER((Q20/200),2)</f>
        <v>0</v>
      </c>
      <c r="Y20" s="15" t="n">
        <f aca="false">PI()*POWER((R20/200),2)</f>
        <v>0</v>
      </c>
      <c r="Z20" s="15" t="n">
        <f aca="false">PI()*POWER((S20/200),2)</f>
        <v>0</v>
      </c>
      <c r="AA20" s="15" t="n">
        <f aca="false">PI()*POWER((T20/200),2)</f>
        <v>0</v>
      </c>
      <c r="AB20" s="15" t="n">
        <f aca="false">PI()*POWER((U20/200),2)</f>
        <v>0</v>
      </c>
    </row>
    <row r="21" customFormat="false" ht="15" hidden="false" customHeight="false" outlineLevel="0" collapsed="false">
      <c r="A21" s="2" t="s">
        <v>20</v>
      </c>
      <c r="B21" s="2" t="n">
        <v>1</v>
      </c>
      <c r="C21" s="9" t="n">
        <v>46264</v>
      </c>
      <c r="D21" s="2" t="n">
        <v>1</v>
      </c>
      <c r="E21" s="2" t="s">
        <v>85</v>
      </c>
      <c r="F21" s="2" t="s">
        <v>21</v>
      </c>
      <c r="G21" s="2" t="s">
        <v>86</v>
      </c>
      <c r="H21" s="2" t="s">
        <v>23</v>
      </c>
      <c r="I21" s="2" t="s">
        <v>25</v>
      </c>
      <c r="J21" s="2" t="n">
        <v>3</v>
      </c>
      <c r="K21" s="32" t="s">
        <v>97</v>
      </c>
      <c r="L21" s="15" t="n">
        <f aca="false">SUM(V21:AB21)</f>
        <v>0.152053084433746</v>
      </c>
      <c r="M21" s="15" t="n">
        <f aca="false">MAX(O21:U21)</f>
        <v>44</v>
      </c>
      <c r="N21" s="15" t="n">
        <f aca="false">COUNTIF(M21,"&gt;9.9")</f>
        <v>1</v>
      </c>
      <c r="O21" s="2" t="n">
        <v>44</v>
      </c>
      <c r="V21" s="15" t="n">
        <f aca="false">PI()*POWER((O21/200),2)</f>
        <v>0.152053084433746</v>
      </c>
      <c r="W21" s="15" t="n">
        <f aca="false">PI()*POWER((P21/200),2)</f>
        <v>0</v>
      </c>
      <c r="X21" s="15" t="n">
        <f aca="false">PI()*POWER((Q21/200),2)</f>
        <v>0</v>
      </c>
      <c r="Y21" s="15" t="n">
        <f aca="false">PI()*POWER((R21/200),2)</f>
        <v>0</v>
      </c>
      <c r="Z21" s="15" t="n">
        <f aca="false">PI()*POWER((S21/200),2)</f>
        <v>0</v>
      </c>
      <c r="AA21" s="15" t="n">
        <f aca="false">PI()*POWER((T21/200),2)</f>
        <v>0</v>
      </c>
      <c r="AB21" s="15" t="n">
        <f aca="false">PI()*POWER((U21/200),2)</f>
        <v>0</v>
      </c>
    </row>
    <row r="22" customFormat="false" ht="15" hidden="false" customHeight="false" outlineLevel="0" collapsed="false">
      <c r="A22" s="2" t="s">
        <v>20</v>
      </c>
      <c r="B22" s="2" t="n">
        <v>1</v>
      </c>
      <c r="C22" s="9" t="n">
        <v>46264</v>
      </c>
      <c r="D22" s="2" t="n">
        <v>1</v>
      </c>
      <c r="E22" s="2" t="s">
        <v>85</v>
      </c>
      <c r="F22" s="2" t="s">
        <v>21</v>
      </c>
      <c r="G22" s="2" t="s">
        <v>86</v>
      </c>
      <c r="H22" s="2" t="s">
        <v>23</v>
      </c>
      <c r="I22" s="2" t="s">
        <v>25</v>
      </c>
      <c r="J22" s="2" t="n">
        <v>11</v>
      </c>
      <c r="K22" s="32" t="s">
        <v>97</v>
      </c>
      <c r="L22" s="15" t="n">
        <f aca="false">SUM(V22:AB22)</f>
        <v>0.1661902513749</v>
      </c>
      <c r="M22" s="15" t="n">
        <f aca="false">MAX(O22:U22)</f>
        <v>46</v>
      </c>
      <c r="N22" s="15" t="n">
        <f aca="false">COUNTIF(M22,"&gt;9.9")</f>
        <v>1</v>
      </c>
      <c r="O22" s="2" t="n">
        <v>46</v>
      </c>
      <c r="V22" s="15" t="n">
        <f aca="false">PI()*POWER((O22/200),2)</f>
        <v>0.1661902513749</v>
      </c>
      <c r="W22" s="15" t="n">
        <f aca="false">PI()*POWER((P22/200),2)</f>
        <v>0</v>
      </c>
      <c r="X22" s="15" t="n">
        <f aca="false">PI()*POWER((Q22/200),2)</f>
        <v>0</v>
      </c>
      <c r="Y22" s="15" t="n">
        <f aca="false">PI()*POWER((R22/200),2)</f>
        <v>0</v>
      </c>
      <c r="Z22" s="15" t="n">
        <f aca="false">PI()*POWER((S22/200),2)</f>
        <v>0</v>
      </c>
      <c r="AA22" s="15" t="n">
        <f aca="false">PI()*POWER((T22/200),2)</f>
        <v>0</v>
      </c>
      <c r="AB22" s="15" t="n">
        <f aca="false">PI()*POWER((U22/200),2)</f>
        <v>0</v>
      </c>
    </row>
    <row r="23" customFormat="false" ht="15" hidden="false" customHeight="false" outlineLevel="0" collapsed="false">
      <c r="A23" s="2" t="s">
        <v>20</v>
      </c>
      <c r="B23" s="2" t="n">
        <v>1</v>
      </c>
      <c r="C23" s="9" t="n">
        <v>46264</v>
      </c>
      <c r="D23" s="2" t="n">
        <v>1</v>
      </c>
      <c r="E23" s="2" t="s">
        <v>85</v>
      </c>
      <c r="F23" s="2" t="s">
        <v>21</v>
      </c>
      <c r="G23" s="2" t="s">
        <v>86</v>
      </c>
      <c r="H23" s="2" t="s">
        <v>23</v>
      </c>
      <c r="I23" s="2" t="s">
        <v>25</v>
      </c>
      <c r="J23" s="2" t="n">
        <v>19</v>
      </c>
      <c r="K23" s="32" t="s">
        <v>97</v>
      </c>
      <c r="L23" s="15" t="n">
        <f aca="false">SUM(V23:AB23)</f>
        <v>0.251720111368882</v>
      </c>
      <c r="M23" s="15" t="n">
        <f aca="false">MAX(O23:U23)</f>
        <v>46</v>
      </c>
      <c r="N23" s="15" t="n">
        <f aca="false">COUNTIF(M23,"&gt;9.9")</f>
        <v>1</v>
      </c>
      <c r="O23" s="2" t="n">
        <v>33</v>
      </c>
      <c r="P23" s="2" t="n">
        <v>46</v>
      </c>
      <c r="V23" s="15" t="n">
        <f aca="false">PI()*POWER((O23/200),2)</f>
        <v>0.0855298599939821</v>
      </c>
      <c r="W23" s="15" t="n">
        <f aca="false">PI()*POWER((P23/200),2)</f>
        <v>0.1661902513749</v>
      </c>
      <c r="X23" s="15" t="n">
        <f aca="false">PI()*POWER((Q23/200),2)</f>
        <v>0</v>
      </c>
      <c r="Y23" s="15" t="n">
        <f aca="false">PI()*POWER((R23/200),2)</f>
        <v>0</v>
      </c>
      <c r="Z23" s="15" t="n">
        <f aca="false">PI()*POWER((S23/200),2)</f>
        <v>0</v>
      </c>
      <c r="AA23" s="15" t="n">
        <f aca="false">PI()*POWER((T23/200),2)</f>
        <v>0</v>
      </c>
      <c r="AB23" s="15" t="n">
        <f aca="false">PI()*POWER((U23/200),2)</f>
        <v>0</v>
      </c>
    </row>
    <row r="24" customFormat="false" ht="15" hidden="false" customHeight="false" outlineLevel="0" collapsed="false">
      <c r="A24" s="2" t="s">
        <v>20</v>
      </c>
      <c r="B24" s="2" t="n">
        <v>1</v>
      </c>
      <c r="C24" s="9" t="n">
        <v>46264</v>
      </c>
      <c r="D24" s="2" t="n">
        <v>1</v>
      </c>
      <c r="E24" s="2" t="s">
        <v>85</v>
      </c>
      <c r="F24" s="2" t="s">
        <v>21</v>
      </c>
      <c r="G24" s="2" t="s">
        <v>86</v>
      </c>
      <c r="H24" s="2" t="s">
        <v>23</v>
      </c>
      <c r="I24" s="2" t="s">
        <v>25</v>
      </c>
      <c r="J24" s="2" t="n">
        <v>18</v>
      </c>
      <c r="K24" s="32" t="s">
        <v>97</v>
      </c>
      <c r="L24" s="15" t="n">
        <f aca="false">SUM(V24:AB24)</f>
        <v>0.180955736846772</v>
      </c>
      <c r="M24" s="15" t="n">
        <f aca="false">MAX(O24:U24)</f>
        <v>48</v>
      </c>
      <c r="N24" s="15" t="n">
        <f aca="false">COUNTIF(M24,"&gt;9.9")</f>
        <v>1</v>
      </c>
      <c r="O24" s="2" t="n">
        <v>48</v>
      </c>
      <c r="V24" s="15" t="n">
        <f aca="false">PI()*POWER((O24/200),2)</f>
        <v>0.180955736846772</v>
      </c>
      <c r="W24" s="15" t="n">
        <f aca="false">PI()*POWER((P24/200),2)</f>
        <v>0</v>
      </c>
      <c r="X24" s="15" t="n">
        <f aca="false">PI()*POWER((Q24/200),2)</f>
        <v>0</v>
      </c>
      <c r="Y24" s="15" t="n">
        <f aca="false">PI()*POWER((R24/200),2)</f>
        <v>0</v>
      </c>
      <c r="Z24" s="15" t="n">
        <f aca="false">PI()*POWER((S24/200),2)</f>
        <v>0</v>
      </c>
      <c r="AA24" s="15" t="n">
        <f aca="false">PI()*POWER((T24/200),2)</f>
        <v>0</v>
      </c>
      <c r="AB24" s="15" t="n">
        <f aca="false">PI()*POWER((U24/200),2)</f>
        <v>0</v>
      </c>
    </row>
    <row r="25" customFormat="false" ht="15" hidden="false" customHeight="false" outlineLevel="0" collapsed="false">
      <c r="A25" s="2" t="s">
        <v>20</v>
      </c>
      <c r="B25" s="2" t="n">
        <v>1</v>
      </c>
      <c r="C25" s="33" t="n">
        <v>46264</v>
      </c>
      <c r="D25" s="2" t="n">
        <v>2</v>
      </c>
      <c r="E25" s="2" t="s">
        <v>26</v>
      </c>
      <c r="F25" s="2" t="s">
        <v>27</v>
      </c>
      <c r="G25" s="2" t="s">
        <v>28</v>
      </c>
      <c r="H25" s="2" t="s">
        <v>95</v>
      </c>
      <c r="I25" s="2" t="s">
        <v>30</v>
      </c>
      <c r="J25" s="2" t="n">
        <v>26</v>
      </c>
      <c r="K25" s="32" t="s">
        <v>139</v>
      </c>
      <c r="L25" s="63" t="n">
        <f aca="false">SUM(V25:AB25)</f>
        <v>0</v>
      </c>
      <c r="M25" s="63" t="n">
        <f aca="false">MAX(O25:U25)</f>
        <v>0</v>
      </c>
      <c r="N25" s="15" t="n">
        <f aca="false">COUNTIF(M25,"&gt;9.9")</f>
        <v>0</v>
      </c>
      <c r="O25" s="2" t="s">
        <v>88</v>
      </c>
      <c r="V25" s="63"/>
      <c r="W25" s="63" t="n">
        <f aca="false">PI()*POWER((P25/200),2)</f>
        <v>0</v>
      </c>
      <c r="X25" s="63" t="n">
        <f aca="false">PI()*POWER((Q25/200),2)</f>
        <v>0</v>
      </c>
      <c r="Y25" s="63" t="n">
        <f aca="false">PI()*POWER((R25/200),2)</f>
        <v>0</v>
      </c>
      <c r="Z25" s="63" t="n">
        <f aca="false">PI()*POWER((S25/200),2)</f>
        <v>0</v>
      </c>
      <c r="AA25" s="63" t="n">
        <f aca="false">PI()*POWER((T25/200),2)</f>
        <v>0</v>
      </c>
      <c r="AB25" s="63" t="n">
        <f aca="false">PI()*POWER((U25/200),2)</f>
        <v>0</v>
      </c>
    </row>
    <row r="26" customFormat="false" ht="15" hidden="false" customHeight="false" outlineLevel="0" collapsed="false">
      <c r="A26" s="2" t="s">
        <v>20</v>
      </c>
      <c r="B26" s="2" t="n">
        <v>1</v>
      </c>
      <c r="C26" s="33" t="n">
        <v>46264</v>
      </c>
      <c r="D26" s="2" t="n">
        <v>2</v>
      </c>
      <c r="E26" s="2" t="s">
        <v>26</v>
      </c>
      <c r="F26" s="2" t="s">
        <v>27</v>
      </c>
      <c r="G26" s="2" t="s">
        <v>28</v>
      </c>
      <c r="H26" s="2" t="s">
        <v>95</v>
      </c>
      <c r="I26" s="2" t="s">
        <v>30</v>
      </c>
      <c r="J26" s="2" t="n">
        <v>27</v>
      </c>
      <c r="K26" s="32" t="s">
        <v>139</v>
      </c>
      <c r="L26" s="63" t="n">
        <f aca="false">SUM(V26:AB26)</f>
        <v>0</v>
      </c>
      <c r="M26" s="63" t="n">
        <f aca="false">MAX(O26:U26)</f>
        <v>0</v>
      </c>
      <c r="N26" s="15" t="n">
        <f aca="false">COUNTIF(M26,"&gt;9.9")</f>
        <v>0</v>
      </c>
      <c r="O26" s="2" t="s">
        <v>88</v>
      </c>
      <c r="V26" s="63"/>
      <c r="W26" s="63" t="n">
        <f aca="false">PI()*POWER((P26/200),2)</f>
        <v>0</v>
      </c>
      <c r="X26" s="63" t="n">
        <f aca="false">PI()*POWER((Q26/200),2)</f>
        <v>0</v>
      </c>
      <c r="Y26" s="63" t="n">
        <f aca="false">PI()*POWER((R26/200),2)</f>
        <v>0</v>
      </c>
      <c r="Z26" s="63" t="n">
        <f aca="false">PI()*POWER((S26/200),2)</f>
        <v>0</v>
      </c>
      <c r="AA26" s="63" t="n">
        <f aca="false">PI()*POWER((T26/200),2)</f>
        <v>0</v>
      </c>
      <c r="AB26" s="63" t="n">
        <f aca="false">PI()*POWER((U26/200),2)</f>
        <v>0</v>
      </c>
    </row>
    <row r="27" customFormat="false" ht="15" hidden="false" customHeight="false" outlineLevel="0" collapsed="false">
      <c r="A27" s="2" t="s">
        <v>20</v>
      </c>
      <c r="B27" s="2" t="n">
        <v>1</v>
      </c>
      <c r="C27" s="33" t="n">
        <v>46264</v>
      </c>
      <c r="D27" s="2" t="n">
        <v>2</v>
      </c>
      <c r="E27" s="2" t="s">
        <v>26</v>
      </c>
      <c r="F27" s="2" t="s">
        <v>27</v>
      </c>
      <c r="G27" s="2" t="s">
        <v>28</v>
      </c>
      <c r="H27" s="2" t="s">
        <v>95</v>
      </c>
      <c r="I27" s="2" t="s">
        <v>30</v>
      </c>
      <c r="J27" s="2" t="n">
        <v>28</v>
      </c>
      <c r="K27" s="32" t="s">
        <v>139</v>
      </c>
      <c r="L27" s="63" t="n">
        <f aca="false">SUM(V27:AB27)</f>
        <v>0</v>
      </c>
      <c r="M27" s="63" t="n">
        <f aca="false">MAX(O27:U27)</f>
        <v>0</v>
      </c>
      <c r="N27" s="15" t="n">
        <f aca="false">COUNTIF(M27,"&gt;9.9")</f>
        <v>0</v>
      </c>
      <c r="O27" s="2" t="s">
        <v>88</v>
      </c>
      <c r="V27" s="63"/>
      <c r="W27" s="63" t="n">
        <f aca="false">PI()*POWER((P27/200),2)</f>
        <v>0</v>
      </c>
      <c r="X27" s="63" t="n">
        <f aca="false">PI()*POWER((Q27/200),2)</f>
        <v>0</v>
      </c>
      <c r="Y27" s="63" t="n">
        <f aca="false">PI()*POWER((R27/200),2)</f>
        <v>0</v>
      </c>
      <c r="Z27" s="63" t="n">
        <f aca="false">PI()*POWER((S27/200),2)</f>
        <v>0</v>
      </c>
      <c r="AA27" s="63" t="n">
        <f aca="false">PI()*POWER((T27/200),2)</f>
        <v>0</v>
      </c>
      <c r="AB27" s="63" t="n">
        <f aca="false">PI()*POWER((U27/200),2)</f>
        <v>0</v>
      </c>
    </row>
    <row r="28" customFormat="false" ht="15" hidden="false" customHeight="false" outlineLevel="0" collapsed="false">
      <c r="A28" s="2" t="s">
        <v>20</v>
      </c>
      <c r="B28" s="2" t="n">
        <v>1</v>
      </c>
      <c r="C28" s="33" t="n">
        <v>46264</v>
      </c>
      <c r="D28" s="2" t="n">
        <v>2</v>
      </c>
      <c r="E28" s="2" t="s">
        <v>26</v>
      </c>
      <c r="F28" s="2" t="s">
        <v>27</v>
      </c>
      <c r="G28" s="2" t="s">
        <v>28</v>
      </c>
      <c r="H28" s="2" t="s">
        <v>95</v>
      </c>
      <c r="I28" s="2" t="s">
        <v>30</v>
      </c>
      <c r="J28" s="2" t="n">
        <v>37</v>
      </c>
      <c r="K28" s="32" t="s">
        <v>96</v>
      </c>
      <c r="L28" s="63" t="n">
        <f aca="false">SUM(V28:AB28)</f>
        <v>0</v>
      </c>
      <c r="M28" s="63" t="n">
        <f aca="false">MAX(O28:U28)</f>
        <v>0</v>
      </c>
      <c r="N28" s="15" t="n">
        <f aca="false">COUNTIF(M28,"&gt;9.9")</f>
        <v>0</v>
      </c>
      <c r="O28" s="2" t="s">
        <v>88</v>
      </c>
      <c r="V28" s="63"/>
      <c r="W28" s="63" t="n">
        <f aca="false">PI()*POWER((P28/200),2)</f>
        <v>0</v>
      </c>
      <c r="X28" s="63" t="n">
        <f aca="false">PI()*POWER((Q28/200),2)</f>
        <v>0</v>
      </c>
      <c r="Y28" s="63" t="n">
        <f aca="false">PI()*POWER((R28/200),2)</f>
        <v>0</v>
      </c>
      <c r="Z28" s="63" t="n">
        <f aca="false">PI()*POWER((S28/200),2)</f>
        <v>0</v>
      </c>
      <c r="AA28" s="63" t="n">
        <f aca="false">PI()*POWER((T28/200),2)</f>
        <v>0</v>
      </c>
      <c r="AB28" s="63" t="n">
        <f aca="false">PI()*POWER((U28/200),2)</f>
        <v>0</v>
      </c>
    </row>
    <row r="29" customFormat="false" ht="15" hidden="false" customHeight="false" outlineLevel="0" collapsed="false">
      <c r="A29" s="2" t="s">
        <v>20</v>
      </c>
      <c r="B29" s="2" t="n">
        <v>1</v>
      </c>
      <c r="C29" s="33" t="n">
        <v>46264</v>
      </c>
      <c r="D29" s="2" t="n">
        <v>2</v>
      </c>
      <c r="E29" s="2" t="s">
        <v>26</v>
      </c>
      <c r="F29" s="2" t="s">
        <v>27</v>
      </c>
      <c r="G29" s="2" t="s">
        <v>28</v>
      </c>
      <c r="H29" s="2" t="s">
        <v>95</v>
      </c>
      <c r="I29" s="2" t="s">
        <v>30</v>
      </c>
      <c r="J29" s="2" t="n">
        <v>13</v>
      </c>
      <c r="K29" s="32" t="s">
        <v>89</v>
      </c>
      <c r="L29" s="63" t="n">
        <f aca="false">SUM(V29:AB29)</f>
        <v>0</v>
      </c>
      <c r="M29" s="63" t="n">
        <f aca="false">MAX(O29:U29)</f>
        <v>0</v>
      </c>
      <c r="N29" s="15" t="n">
        <f aca="false">COUNTIF(M29,"&gt;9.9")</f>
        <v>0</v>
      </c>
      <c r="O29" s="2" t="s">
        <v>88</v>
      </c>
      <c r="V29" s="63"/>
      <c r="W29" s="63" t="n">
        <f aca="false">PI()*POWER((P29/200),2)</f>
        <v>0</v>
      </c>
      <c r="X29" s="63" t="n">
        <f aca="false">PI()*POWER((Q29/200),2)</f>
        <v>0</v>
      </c>
      <c r="Y29" s="63" t="n">
        <f aca="false">PI()*POWER((R29/200),2)</f>
        <v>0</v>
      </c>
      <c r="Z29" s="63" t="n">
        <f aca="false">PI()*POWER((S29/200),2)</f>
        <v>0</v>
      </c>
      <c r="AA29" s="63" t="n">
        <f aca="false">PI()*POWER((T29/200),2)</f>
        <v>0</v>
      </c>
      <c r="AB29" s="63" t="n">
        <f aca="false">PI()*POWER((U29/200),2)</f>
        <v>0</v>
      </c>
    </row>
    <row r="30" customFormat="false" ht="15" hidden="false" customHeight="false" outlineLevel="0" collapsed="false">
      <c r="A30" s="2" t="s">
        <v>20</v>
      </c>
      <c r="B30" s="2" t="n">
        <v>1</v>
      </c>
      <c r="C30" s="33" t="n">
        <v>46264</v>
      </c>
      <c r="D30" s="2" t="n">
        <v>2</v>
      </c>
      <c r="E30" s="2" t="s">
        <v>26</v>
      </c>
      <c r="F30" s="2" t="s">
        <v>27</v>
      </c>
      <c r="G30" s="2" t="s">
        <v>28</v>
      </c>
      <c r="H30" s="2" t="s">
        <v>95</v>
      </c>
      <c r="I30" s="2" t="s">
        <v>30</v>
      </c>
      <c r="J30" s="2" t="n">
        <v>14</v>
      </c>
      <c r="K30" s="32" t="s">
        <v>89</v>
      </c>
      <c r="L30" s="63" t="n">
        <f aca="false">SUM(V30:AB30)</f>
        <v>0</v>
      </c>
      <c r="M30" s="63" t="n">
        <f aca="false">MAX(O30:U30)</f>
        <v>0</v>
      </c>
      <c r="N30" s="15" t="n">
        <f aca="false">COUNTIF(M30,"&gt;9.9")</f>
        <v>0</v>
      </c>
      <c r="O30" s="2" t="s">
        <v>88</v>
      </c>
      <c r="V30" s="63"/>
      <c r="W30" s="63" t="n">
        <f aca="false">PI()*POWER((P30/200),2)</f>
        <v>0</v>
      </c>
      <c r="X30" s="63" t="n">
        <f aca="false">PI()*POWER((Q30/200),2)</f>
        <v>0</v>
      </c>
      <c r="Y30" s="63" t="n">
        <f aca="false">PI()*POWER((R30/200),2)</f>
        <v>0</v>
      </c>
      <c r="Z30" s="63" t="n">
        <f aca="false">PI()*POWER((S30/200),2)</f>
        <v>0</v>
      </c>
      <c r="AA30" s="63" t="n">
        <f aca="false">PI()*POWER((T30/200),2)</f>
        <v>0</v>
      </c>
      <c r="AB30" s="63" t="n">
        <f aca="false">PI()*POWER((U30/200),2)</f>
        <v>0</v>
      </c>
    </row>
    <row r="31" customFormat="false" ht="15" hidden="false" customHeight="false" outlineLevel="0" collapsed="false">
      <c r="A31" s="2" t="s">
        <v>20</v>
      </c>
      <c r="B31" s="2" t="n">
        <v>1</v>
      </c>
      <c r="C31" s="33" t="n">
        <v>46264</v>
      </c>
      <c r="D31" s="2" t="n">
        <v>2</v>
      </c>
      <c r="E31" s="2" t="s">
        <v>26</v>
      </c>
      <c r="F31" s="2" t="s">
        <v>27</v>
      </c>
      <c r="G31" s="2" t="s">
        <v>28</v>
      </c>
      <c r="H31" s="2" t="s">
        <v>95</v>
      </c>
      <c r="I31" s="2" t="s">
        <v>30</v>
      </c>
      <c r="J31" s="2" t="n">
        <v>15</v>
      </c>
      <c r="K31" s="32" t="s">
        <v>89</v>
      </c>
      <c r="L31" s="63" t="n">
        <f aca="false">SUM(V31:AB31)</f>
        <v>0</v>
      </c>
      <c r="M31" s="63" t="n">
        <f aca="false">MAX(O31:U31)</f>
        <v>0</v>
      </c>
      <c r="N31" s="15" t="n">
        <f aca="false">COUNTIF(M31,"&gt;9.9")</f>
        <v>0</v>
      </c>
      <c r="O31" s="2" t="s">
        <v>88</v>
      </c>
      <c r="V31" s="63"/>
      <c r="W31" s="63" t="n">
        <f aca="false">PI()*POWER((P31/200),2)</f>
        <v>0</v>
      </c>
      <c r="X31" s="63" t="n">
        <f aca="false">PI()*POWER((Q31/200),2)</f>
        <v>0</v>
      </c>
      <c r="Y31" s="63" t="n">
        <f aca="false">PI()*POWER((R31/200),2)</f>
        <v>0</v>
      </c>
      <c r="Z31" s="63" t="n">
        <f aca="false">PI()*POWER((S31/200),2)</f>
        <v>0</v>
      </c>
      <c r="AA31" s="63" t="n">
        <f aca="false">PI()*POWER((T31/200),2)</f>
        <v>0</v>
      </c>
      <c r="AB31" s="63" t="n">
        <f aca="false">PI()*POWER((U31/200),2)</f>
        <v>0</v>
      </c>
    </row>
    <row r="32" customFormat="false" ht="15" hidden="false" customHeight="false" outlineLevel="0" collapsed="false">
      <c r="A32" s="2" t="s">
        <v>20</v>
      </c>
      <c r="B32" s="2" t="n">
        <v>1</v>
      </c>
      <c r="C32" s="33" t="n">
        <v>46264</v>
      </c>
      <c r="D32" s="2" t="n">
        <v>2</v>
      </c>
      <c r="E32" s="2" t="s">
        <v>26</v>
      </c>
      <c r="F32" s="2" t="s">
        <v>27</v>
      </c>
      <c r="G32" s="2" t="s">
        <v>28</v>
      </c>
      <c r="H32" s="2" t="s">
        <v>95</v>
      </c>
      <c r="I32" s="2" t="s">
        <v>30</v>
      </c>
      <c r="J32" s="2" t="n">
        <v>16</v>
      </c>
      <c r="K32" s="32" t="s">
        <v>89</v>
      </c>
      <c r="L32" s="63" t="n">
        <f aca="false">SUM(V32:AB32)</f>
        <v>0</v>
      </c>
      <c r="M32" s="63" t="n">
        <f aca="false">MAX(O32:U32)</f>
        <v>0</v>
      </c>
      <c r="N32" s="15" t="n">
        <f aca="false">COUNTIF(M32,"&gt;9.9")</f>
        <v>0</v>
      </c>
      <c r="O32" s="2" t="s">
        <v>88</v>
      </c>
      <c r="V32" s="63"/>
      <c r="W32" s="63" t="n">
        <f aca="false">PI()*POWER((P32/200),2)</f>
        <v>0</v>
      </c>
      <c r="X32" s="63" t="n">
        <f aca="false">PI()*POWER((Q32/200),2)</f>
        <v>0</v>
      </c>
      <c r="Y32" s="63" t="n">
        <f aca="false">PI()*POWER((R32/200),2)</f>
        <v>0</v>
      </c>
      <c r="Z32" s="63" t="n">
        <f aca="false">PI()*POWER((S32/200),2)</f>
        <v>0</v>
      </c>
      <c r="AA32" s="63" t="n">
        <f aca="false">PI()*POWER((T32/200),2)</f>
        <v>0</v>
      </c>
      <c r="AB32" s="63" t="n">
        <f aca="false">PI()*POWER((U32/200),2)</f>
        <v>0</v>
      </c>
    </row>
    <row r="33" customFormat="false" ht="15" hidden="false" customHeight="false" outlineLevel="0" collapsed="false">
      <c r="A33" s="2" t="s">
        <v>20</v>
      </c>
      <c r="B33" s="2" t="n">
        <v>1</v>
      </c>
      <c r="C33" s="33" t="n">
        <v>46264</v>
      </c>
      <c r="D33" s="2" t="n">
        <v>2</v>
      </c>
      <c r="E33" s="2" t="s">
        <v>26</v>
      </c>
      <c r="F33" s="2" t="s">
        <v>27</v>
      </c>
      <c r="G33" s="2" t="s">
        <v>28</v>
      </c>
      <c r="H33" s="2" t="s">
        <v>95</v>
      </c>
      <c r="I33" s="2" t="s">
        <v>30</v>
      </c>
      <c r="J33" s="2" t="n">
        <v>17</v>
      </c>
      <c r="K33" s="32" t="s">
        <v>89</v>
      </c>
      <c r="L33" s="63" t="n">
        <f aca="false">SUM(V33:AB33)</f>
        <v>0</v>
      </c>
      <c r="M33" s="63" t="n">
        <f aca="false">MAX(O33:U33)</f>
        <v>0</v>
      </c>
      <c r="N33" s="15" t="n">
        <f aca="false">COUNTIF(M33,"&gt;9.9")</f>
        <v>0</v>
      </c>
      <c r="O33" s="2" t="s">
        <v>88</v>
      </c>
      <c r="V33" s="63"/>
      <c r="W33" s="63" t="n">
        <f aca="false">PI()*POWER((P33/200),2)</f>
        <v>0</v>
      </c>
      <c r="X33" s="63" t="n">
        <f aca="false">PI()*POWER((Q33/200),2)</f>
        <v>0</v>
      </c>
      <c r="Y33" s="63" t="n">
        <f aca="false">PI()*POWER((R33/200),2)</f>
        <v>0</v>
      </c>
      <c r="Z33" s="63" t="n">
        <f aca="false">PI()*POWER((S33/200),2)</f>
        <v>0</v>
      </c>
      <c r="AA33" s="63" t="n">
        <f aca="false">PI()*POWER((T33/200),2)</f>
        <v>0</v>
      </c>
      <c r="AB33" s="63" t="n">
        <f aca="false">PI()*POWER((U33/200),2)</f>
        <v>0</v>
      </c>
    </row>
    <row r="34" customFormat="false" ht="15" hidden="false" customHeight="false" outlineLevel="0" collapsed="false">
      <c r="A34" s="2" t="s">
        <v>20</v>
      </c>
      <c r="B34" s="2" t="n">
        <v>1</v>
      </c>
      <c r="C34" s="33" t="n">
        <v>46264</v>
      </c>
      <c r="D34" s="2" t="n">
        <v>2</v>
      </c>
      <c r="E34" s="2" t="s">
        <v>26</v>
      </c>
      <c r="F34" s="2" t="s">
        <v>27</v>
      </c>
      <c r="G34" s="2" t="s">
        <v>28</v>
      </c>
      <c r="H34" s="2" t="s">
        <v>95</v>
      </c>
      <c r="I34" s="2" t="s">
        <v>30</v>
      </c>
      <c r="J34" s="2" t="n">
        <v>18</v>
      </c>
      <c r="K34" s="32" t="s">
        <v>89</v>
      </c>
      <c r="L34" s="63" t="n">
        <f aca="false">SUM(V34:AB34)</f>
        <v>0</v>
      </c>
      <c r="M34" s="63" t="n">
        <f aca="false">MAX(O34:U34)</f>
        <v>0</v>
      </c>
      <c r="N34" s="15" t="n">
        <f aca="false">COUNTIF(M34,"&gt;9.9")</f>
        <v>0</v>
      </c>
      <c r="O34" s="2" t="s">
        <v>88</v>
      </c>
      <c r="V34" s="63"/>
      <c r="W34" s="63" t="n">
        <f aca="false">PI()*POWER((P34/200),2)</f>
        <v>0</v>
      </c>
      <c r="X34" s="63" t="n">
        <f aca="false">PI()*POWER((Q34/200),2)</f>
        <v>0</v>
      </c>
      <c r="Y34" s="63" t="n">
        <f aca="false">PI()*POWER((R34/200),2)</f>
        <v>0</v>
      </c>
      <c r="Z34" s="63" t="n">
        <f aca="false">PI()*POWER((S34/200),2)</f>
        <v>0</v>
      </c>
      <c r="AA34" s="63" t="n">
        <f aca="false">PI()*POWER((T34/200),2)</f>
        <v>0</v>
      </c>
      <c r="AB34" s="63" t="n">
        <f aca="false">PI()*POWER((U34/200),2)</f>
        <v>0</v>
      </c>
    </row>
    <row r="35" customFormat="false" ht="15" hidden="false" customHeight="false" outlineLevel="0" collapsed="false">
      <c r="A35" s="2" t="s">
        <v>20</v>
      </c>
      <c r="B35" s="2" t="n">
        <v>1</v>
      </c>
      <c r="C35" s="33" t="n">
        <v>46264</v>
      </c>
      <c r="D35" s="2" t="n">
        <v>2</v>
      </c>
      <c r="E35" s="2" t="s">
        <v>26</v>
      </c>
      <c r="F35" s="2" t="s">
        <v>27</v>
      </c>
      <c r="G35" s="2" t="s">
        <v>28</v>
      </c>
      <c r="H35" s="2" t="s">
        <v>95</v>
      </c>
      <c r="I35" s="2" t="s">
        <v>30</v>
      </c>
      <c r="J35" s="2" t="n">
        <v>19</v>
      </c>
      <c r="K35" s="32" t="s">
        <v>89</v>
      </c>
      <c r="L35" s="63" t="n">
        <f aca="false">SUM(V35:AB35)</f>
        <v>0</v>
      </c>
      <c r="M35" s="63" t="n">
        <f aca="false">MAX(O35:U35)</f>
        <v>0</v>
      </c>
      <c r="N35" s="15" t="n">
        <f aca="false">COUNTIF(M35,"&gt;9.9")</f>
        <v>0</v>
      </c>
      <c r="O35" s="2" t="s">
        <v>88</v>
      </c>
      <c r="V35" s="63"/>
      <c r="W35" s="63" t="n">
        <f aca="false">PI()*POWER((P35/200),2)</f>
        <v>0</v>
      </c>
      <c r="X35" s="63" t="n">
        <f aca="false">PI()*POWER((Q35/200),2)</f>
        <v>0</v>
      </c>
      <c r="Y35" s="63" t="n">
        <f aca="false">PI()*POWER((R35/200),2)</f>
        <v>0</v>
      </c>
      <c r="Z35" s="63" t="n">
        <f aca="false">PI()*POWER((S35/200),2)</f>
        <v>0</v>
      </c>
      <c r="AA35" s="63" t="n">
        <f aca="false">PI()*POWER((T35/200),2)</f>
        <v>0</v>
      </c>
      <c r="AB35" s="63" t="n">
        <f aca="false">PI()*POWER((U35/200),2)</f>
        <v>0</v>
      </c>
    </row>
    <row r="36" customFormat="false" ht="15" hidden="false" customHeight="false" outlineLevel="0" collapsed="false">
      <c r="A36" s="2" t="s">
        <v>20</v>
      </c>
      <c r="B36" s="2" t="n">
        <v>1</v>
      </c>
      <c r="C36" s="33" t="n">
        <v>46264</v>
      </c>
      <c r="D36" s="2" t="n">
        <v>2</v>
      </c>
      <c r="E36" s="2" t="s">
        <v>26</v>
      </c>
      <c r="F36" s="2" t="s">
        <v>27</v>
      </c>
      <c r="G36" s="2" t="s">
        <v>28</v>
      </c>
      <c r="H36" s="2" t="s">
        <v>95</v>
      </c>
      <c r="I36" s="2" t="s">
        <v>30</v>
      </c>
      <c r="J36" s="2" t="n">
        <v>20</v>
      </c>
      <c r="K36" s="32" t="s">
        <v>89</v>
      </c>
      <c r="L36" s="63" t="n">
        <f aca="false">SUM(V36:AB36)</f>
        <v>0</v>
      </c>
      <c r="M36" s="63" t="n">
        <f aca="false">MAX(O36:U36)</f>
        <v>0</v>
      </c>
      <c r="N36" s="15" t="n">
        <f aca="false">COUNTIF(M36,"&gt;9.9")</f>
        <v>0</v>
      </c>
      <c r="O36" s="2" t="s">
        <v>88</v>
      </c>
      <c r="V36" s="63"/>
      <c r="W36" s="63" t="n">
        <f aca="false">PI()*POWER((P36/200),2)</f>
        <v>0</v>
      </c>
      <c r="X36" s="63" t="n">
        <f aca="false">PI()*POWER((Q36/200),2)</f>
        <v>0</v>
      </c>
      <c r="Y36" s="63" t="n">
        <f aca="false">PI()*POWER((R36/200),2)</f>
        <v>0</v>
      </c>
      <c r="Z36" s="63" t="n">
        <f aca="false">PI()*POWER((S36/200),2)</f>
        <v>0</v>
      </c>
      <c r="AA36" s="63" t="n">
        <f aca="false">PI()*POWER((T36/200),2)</f>
        <v>0</v>
      </c>
      <c r="AB36" s="63" t="n">
        <f aca="false">PI()*POWER((U36/200),2)</f>
        <v>0</v>
      </c>
    </row>
    <row r="37" customFormat="false" ht="15" hidden="false" customHeight="false" outlineLevel="0" collapsed="false">
      <c r="A37" s="2" t="s">
        <v>20</v>
      </c>
      <c r="B37" s="2" t="n">
        <v>1</v>
      </c>
      <c r="C37" s="33" t="n">
        <v>46264</v>
      </c>
      <c r="D37" s="2" t="n">
        <v>2</v>
      </c>
      <c r="E37" s="2" t="s">
        <v>26</v>
      </c>
      <c r="F37" s="2" t="s">
        <v>27</v>
      </c>
      <c r="G37" s="2" t="s">
        <v>28</v>
      </c>
      <c r="H37" s="2" t="s">
        <v>95</v>
      </c>
      <c r="I37" s="2" t="s">
        <v>30</v>
      </c>
      <c r="J37" s="2" t="n">
        <v>21</v>
      </c>
      <c r="K37" s="32" t="s">
        <v>89</v>
      </c>
      <c r="L37" s="63" t="n">
        <f aca="false">SUM(V37:AB37)</f>
        <v>0</v>
      </c>
      <c r="M37" s="63" t="n">
        <f aca="false">MAX(O37:U37)</f>
        <v>0</v>
      </c>
      <c r="N37" s="15" t="n">
        <f aca="false">COUNTIF(M37,"&gt;9.9")</f>
        <v>0</v>
      </c>
      <c r="O37" s="2" t="s">
        <v>88</v>
      </c>
      <c r="V37" s="63"/>
      <c r="W37" s="63" t="n">
        <f aca="false">PI()*POWER((P37/200),2)</f>
        <v>0</v>
      </c>
      <c r="X37" s="63" t="n">
        <f aca="false">PI()*POWER((Q37/200),2)</f>
        <v>0</v>
      </c>
      <c r="Y37" s="63" t="n">
        <f aca="false">PI()*POWER((R37/200),2)</f>
        <v>0</v>
      </c>
      <c r="Z37" s="63" t="n">
        <f aca="false">PI()*POWER((S37/200),2)</f>
        <v>0</v>
      </c>
      <c r="AA37" s="63" t="n">
        <f aca="false">PI()*POWER((T37/200),2)</f>
        <v>0</v>
      </c>
      <c r="AB37" s="63" t="n">
        <f aca="false">PI()*POWER((U37/200),2)</f>
        <v>0</v>
      </c>
    </row>
    <row r="38" customFormat="false" ht="15" hidden="false" customHeight="false" outlineLevel="0" collapsed="false">
      <c r="A38" s="2" t="s">
        <v>20</v>
      </c>
      <c r="B38" s="2" t="n">
        <v>1</v>
      </c>
      <c r="C38" s="33" t="n">
        <v>46264</v>
      </c>
      <c r="D38" s="2" t="n">
        <v>2</v>
      </c>
      <c r="E38" s="2" t="s">
        <v>26</v>
      </c>
      <c r="F38" s="2" t="s">
        <v>27</v>
      </c>
      <c r="G38" s="2" t="s">
        <v>28</v>
      </c>
      <c r="H38" s="2" t="s">
        <v>95</v>
      </c>
      <c r="I38" s="2" t="s">
        <v>30</v>
      </c>
      <c r="J38" s="2" t="n">
        <v>12</v>
      </c>
      <c r="K38" s="32" t="s">
        <v>89</v>
      </c>
      <c r="L38" s="63" t="n">
        <f aca="false">SUM(V38:AB38)</f>
        <v>7.85398163397448E-005</v>
      </c>
      <c r="M38" s="63" t="n">
        <f aca="false">MAX(O38:U38)</f>
        <v>1</v>
      </c>
      <c r="N38" s="15" t="n">
        <f aca="false">COUNTIF(M38,"&gt;9.9")</f>
        <v>0</v>
      </c>
      <c r="O38" s="2" t="n">
        <v>1</v>
      </c>
      <c r="V38" s="63" t="n">
        <f aca="false">PI()*POWER((O38/200),2)</f>
        <v>7.85398163397448E-005</v>
      </c>
      <c r="W38" s="63" t="n">
        <f aca="false">PI()*POWER((P38/200),2)</f>
        <v>0</v>
      </c>
      <c r="X38" s="63" t="n">
        <f aca="false">PI()*POWER((Q38/200),2)</f>
        <v>0</v>
      </c>
      <c r="Y38" s="63" t="n">
        <f aca="false">PI()*POWER((R38/200),2)</f>
        <v>0</v>
      </c>
      <c r="Z38" s="63" t="n">
        <f aca="false">PI()*POWER((S38/200),2)</f>
        <v>0</v>
      </c>
      <c r="AA38" s="63" t="n">
        <f aca="false">PI()*POWER((T38/200),2)</f>
        <v>0</v>
      </c>
      <c r="AB38" s="63" t="n">
        <f aca="false">PI()*POWER((U38/200),2)</f>
        <v>0</v>
      </c>
    </row>
    <row r="39" customFormat="false" ht="15" hidden="false" customHeight="false" outlineLevel="0" collapsed="false">
      <c r="A39" s="2" t="s">
        <v>20</v>
      </c>
      <c r="B39" s="2" t="n">
        <v>1</v>
      </c>
      <c r="C39" s="33" t="n">
        <v>46264</v>
      </c>
      <c r="D39" s="2" t="n">
        <v>2</v>
      </c>
      <c r="E39" s="2" t="s">
        <v>26</v>
      </c>
      <c r="F39" s="2" t="s">
        <v>27</v>
      </c>
      <c r="G39" s="2" t="s">
        <v>28</v>
      </c>
      <c r="H39" s="2" t="s">
        <v>95</v>
      </c>
      <c r="I39" s="2" t="s">
        <v>30</v>
      </c>
      <c r="J39" s="2" t="n">
        <v>23</v>
      </c>
      <c r="K39" s="32" t="s">
        <v>97</v>
      </c>
      <c r="L39" s="63" t="n">
        <f aca="false">SUM(V39:AB39)</f>
        <v>0</v>
      </c>
      <c r="M39" s="63" t="n">
        <f aca="false">MAX(O39:U39)</f>
        <v>0</v>
      </c>
      <c r="N39" s="15" t="n">
        <f aca="false">COUNTIF(M39,"&gt;9.9")</f>
        <v>0</v>
      </c>
      <c r="O39" s="2" t="s">
        <v>88</v>
      </c>
      <c r="V39" s="63"/>
      <c r="W39" s="63" t="n">
        <f aca="false">PI()*POWER((P39/200),2)</f>
        <v>0</v>
      </c>
      <c r="X39" s="63" t="n">
        <f aca="false">PI()*POWER((Q39/200),2)</f>
        <v>0</v>
      </c>
      <c r="Y39" s="63" t="n">
        <f aca="false">PI()*POWER((R39/200),2)</f>
        <v>0</v>
      </c>
      <c r="Z39" s="63" t="n">
        <f aca="false">PI()*POWER((S39/200),2)</f>
        <v>0</v>
      </c>
      <c r="AA39" s="63" t="n">
        <f aca="false">PI()*POWER((T39/200),2)</f>
        <v>0</v>
      </c>
      <c r="AB39" s="63" t="n">
        <f aca="false">PI()*POWER((U39/200),2)</f>
        <v>0</v>
      </c>
    </row>
    <row r="40" customFormat="false" ht="15" hidden="false" customHeight="false" outlineLevel="0" collapsed="false">
      <c r="A40" s="2" t="s">
        <v>20</v>
      </c>
      <c r="B40" s="2" t="n">
        <v>1</v>
      </c>
      <c r="C40" s="33" t="n">
        <v>46264</v>
      </c>
      <c r="D40" s="2" t="n">
        <v>2</v>
      </c>
      <c r="E40" s="2" t="s">
        <v>26</v>
      </c>
      <c r="F40" s="2" t="s">
        <v>27</v>
      </c>
      <c r="G40" s="2" t="s">
        <v>28</v>
      </c>
      <c r="H40" s="2" t="s">
        <v>95</v>
      </c>
      <c r="I40" s="2" t="s">
        <v>30</v>
      </c>
      <c r="J40" s="2" t="n">
        <v>24</v>
      </c>
      <c r="K40" s="32" t="s">
        <v>97</v>
      </c>
      <c r="L40" s="63" t="n">
        <f aca="false">SUM(V40:AB40)</f>
        <v>0</v>
      </c>
      <c r="M40" s="63" t="n">
        <f aca="false">MAX(O40:U40)</f>
        <v>0</v>
      </c>
      <c r="N40" s="15" t="n">
        <f aca="false">COUNTIF(M40,"&gt;9.9")</f>
        <v>0</v>
      </c>
      <c r="O40" s="2" t="s">
        <v>88</v>
      </c>
      <c r="V40" s="63"/>
      <c r="W40" s="63" t="n">
        <f aca="false">PI()*POWER((P40/200),2)</f>
        <v>0</v>
      </c>
      <c r="X40" s="63" t="n">
        <f aca="false">PI()*POWER((Q40/200),2)</f>
        <v>0</v>
      </c>
      <c r="Y40" s="63" t="n">
        <f aca="false">PI()*POWER((R40/200),2)</f>
        <v>0</v>
      </c>
      <c r="Z40" s="63" t="n">
        <f aca="false">PI()*POWER((S40/200),2)</f>
        <v>0</v>
      </c>
      <c r="AA40" s="63" t="n">
        <f aca="false">PI()*POWER((T40/200),2)</f>
        <v>0</v>
      </c>
      <c r="AB40" s="63" t="n">
        <f aca="false">PI()*POWER((U40/200),2)</f>
        <v>0</v>
      </c>
    </row>
    <row r="41" customFormat="false" ht="15" hidden="false" customHeight="false" outlineLevel="0" collapsed="false">
      <c r="A41" s="2" t="s">
        <v>20</v>
      </c>
      <c r="B41" s="2" t="n">
        <v>1</v>
      </c>
      <c r="C41" s="33" t="n">
        <v>46264</v>
      </c>
      <c r="D41" s="2" t="n">
        <v>2</v>
      </c>
      <c r="E41" s="2" t="s">
        <v>26</v>
      </c>
      <c r="F41" s="2" t="s">
        <v>27</v>
      </c>
      <c r="G41" s="2" t="s">
        <v>28</v>
      </c>
      <c r="H41" s="2" t="s">
        <v>95</v>
      </c>
      <c r="I41" s="2" t="s">
        <v>30</v>
      </c>
      <c r="J41" s="2" t="n">
        <v>25</v>
      </c>
      <c r="K41" s="32" t="s">
        <v>97</v>
      </c>
      <c r="L41" s="63" t="n">
        <f aca="false">SUM(V41:AB41)</f>
        <v>0</v>
      </c>
      <c r="M41" s="63" t="n">
        <f aca="false">MAX(O41:U41)</f>
        <v>0</v>
      </c>
      <c r="N41" s="15" t="n">
        <f aca="false">COUNTIF(M41,"&gt;9.9")</f>
        <v>0</v>
      </c>
      <c r="O41" s="2" t="s">
        <v>88</v>
      </c>
      <c r="V41" s="63"/>
      <c r="W41" s="63" t="n">
        <f aca="false">PI()*POWER((P41/200),2)</f>
        <v>0</v>
      </c>
      <c r="X41" s="63" t="n">
        <f aca="false">PI()*POWER((Q41/200),2)</f>
        <v>0</v>
      </c>
      <c r="Y41" s="63" t="n">
        <f aca="false">PI()*POWER((R41/200),2)</f>
        <v>0</v>
      </c>
      <c r="Z41" s="63" t="n">
        <f aca="false">PI()*POWER((S41/200),2)</f>
        <v>0</v>
      </c>
      <c r="AA41" s="63" t="n">
        <f aca="false">PI()*POWER((T41/200),2)</f>
        <v>0</v>
      </c>
      <c r="AB41" s="63" t="n">
        <f aca="false">PI()*POWER((U41/200),2)</f>
        <v>0</v>
      </c>
    </row>
    <row r="42" customFormat="false" ht="15" hidden="false" customHeight="false" outlineLevel="0" collapsed="false">
      <c r="A42" s="2" t="s">
        <v>20</v>
      </c>
      <c r="B42" s="2" t="n">
        <v>1</v>
      </c>
      <c r="C42" s="33" t="n">
        <v>46264</v>
      </c>
      <c r="D42" s="2" t="n">
        <v>2</v>
      </c>
      <c r="E42" s="2" t="s">
        <v>26</v>
      </c>
      <c r="F42" s="2" t="s">
        <v>27</v>
      </c>
      <c r="G42" s="2" t="s">
        <v>28</v>
      </c>
      <c r="H42" s="2" t="s">
        <v>95</v>
      </c>
      <c r="I42" s="2" t="s">
        <v>30</v>
      </c>
      <c r="J42" s="2" t="n">
        <v>29</v>
      </c>
      <c r="K42" s="32" t="s">
        <v>97</v>
      </c>
      <c r="L42" s="63" t="n">
        <f aca="false">SUM(V42:AB42)</f>
        <v>0</v>
      </c>
      <c r="M42" s="63" t="n">
        <f aca="false">MAX(O42:U42)</f>
        <v>0</v>
      </c>
      <c r="N42" s="15" t="n">
        <f aca="false">COUNTIF(M42,"&gt;9.9")</f>
        <v>0</v>
      </c>
      <c r="O42" s="2" t="s">
        <v>88</v>
      </c>
      <c r="V42" s="63"/>
      <c r="W42" s="63" t="n">
        <f aca="false">PI()*POWER((P42/200),2)</f>
        <v>0</v>
      </c>
      <c r="X42" s="63" t="n">
        <f aca="false">PI()*POWER((Q42/200),2)</f>
        <v>0</v>
      </c>
      <c r="Y42" s="63" t="n">
        <f aca="false">PI()*POWER((R42/200),2)</f>
        <v>0</v>
      </c>
      <c r="Z42" s="63" t="n">
        <f aca="false">PI()*POWER((S42/200),2)</f>
        <v>0</v>
      </c>
      <c r="AA42" s="63" t="n">
        <f aca="false">PI()*POWER((T42/200),2)</f>
        <v>0</v>
      </c>
      <c r="AB42" s="63" t="n">
        <f aca="false">PI()*POWER((U42/200),2)</f>
        <v>0</v>
      </c>
    </row>
    <row r="43" customFormat="false" ht="15" hidden="false" customHeight="false" outlineLevel="0" collapsed="false">
      <c r="A43" s="2" t="s">
        <v>20</v>
      </c>
      <c r="B43" s="2" t="n">
        <v>1</v>
      </c>
      <c r="C43" s="33" t="n">
        <v>46264</v>
      </c>
      <c r="D43" s="2" t="n">
        <v>2</v>
      </c>
      <c r="E43" s="2" t="s">
        <v>26</v>
      </c>
      <c r="F43" s="2" t="s">
        <v>27</v>
      </c>
      <c r="G43" s="2" t="s">
        <v>28</v>
      </c>
      <c r="H43" s="2" t="s">
        <v>95</v>
      </c>
      <c r="I43" s="2" t="s">
        <v>30</v>
      </c>
      <c r="J43" s="2" t="n">
        <v>30</v>
      </c>
      <c r="K43" s="32" t="s">
        <v>97</v>
      </c>
      <c r="L43" s="63" t="n">
        <f aca="false">SUM(V43:AB43)</f>
        <v>0</v>
      </c>
      <c r="M43" s="63" t="n">
        <f aca="false">MAX(O43:U43)</f>
        <v>0</v>
      </c>
      <c r="N43" s="15" t="n">
        <f aca="false">COUNTIF(M43,"&gt;9.9")</f>
        <v>0</v>
      </c>
      <c r="O43" s="2" t="s">
        <v>88</v>
      </c>
      <c r="V43" s="63"/>
      <c r="W43" s="63" t="n">
        <f aca="false">PI()*POWER((P43/200),2)</f>
        <v>0</v>
      </c>
      <c r="X43" s="63" t="n">
        <f aca="false">PI()*POWER((Q43/200),2)</f>
        <v>0</v>
      </c>
      <c r="Y43" s="63" t="n">
        <f aca="false">PI()*POWER((R43/200),2)</f>
        <v>0</v>
      </c>
      <c r="Z43" s="63" t="n">
        <f aca="false">PI()*POWER((S43/200),2)</f>
        <v>0</v>
      </c>
      <c r="AA43" s="63" t="n">
        <f aca="false">PI()*POWER((T43/200),2)</f>
        <v>0</v>
      </c>
      <c r="AB43" s="63" t="n">
        <f aca="false">PI()*POWER((U43/200),2)</f>
        <v>0</v>
      </c>
    </row>
    <row r="44" customFormat="false" ht="15" hidden="false" customHeight="false" outlineLevel="0" collapsed="false">
      <c r="A44" s="2" t="s">
        <v>20</v>
      </c>
      <c r="B44" s="2" t="n">
        <v>1</v>
      </c>
      <c r="C44" s="33" t="n">
        <v>46264</v>
      </c>
      <c r="D44" s="2" t="n">
        <v>2</v>
      </c>
      <c r="E44" s="2" t="s">
        <v>26</v>
      </c>
      <c r="F44" s="2" t="s">
        <v>27</v>
      </c>
      <c r="G44" s="2" t="s">
        <v>28</v>
      </c>
      <c r="H44" s="2" t="s">
        <v>95</v>
      </c>
      <c r="I44" s="2" t="s">
        <v>30</v>
      </c>
      <c r="J44" s="2" t="n">
        <v>31</v>
      </c>
      <c r="K44" s="32" t="s">
        <v>97</v>
      </c>
      <c r="L44" s="63" t="n">
        <f aca="false">SUM(V44:AB44)</f>
        <v>0</v>
      </c>
      <c r="M44" s="63" t="n">
        <f aca="false">MAX(O44:U44)</f>
        <v>0</v>
      </c>
      <c r="N44" s="15" t="n">
        <f aca="false">COUNTIF(M44,"&gt;9.9")</f>
        <v>0</v>
      </c>
      <c r="O44" s="2" t="s">
        <v>88</v>
      </c>
      <c r="V44" s="63"/>
      <c r="W44" s="63" t="n">
        <f aca="false">PI()*POWER((P44/200),2)</f>
        <v>0</v>
      </c>
      <c r="X44" s="63" t="n">
        <f aca="false">PI()*POWER((Q44/200),2)</f>
        <v>0</v>
      </c>
      <c r="Y44" s="63" t="n">
        <f aca="false">PI()*POWER((R44/200),2)</f>
        <v>0</v>
      </c>
      <c r="Z44" s="63" t="n">
        <f aca="false">PI()*POWER((S44/200),2)</f>
        <v>0</v>
      </c>
      <c r="AA44" s="63" t="n">
        <f aca="false">PI()*POWER((T44/200),2)</f>
        <v>0</v>
      </c>
      <c r="AB44" s="63" t="n">
        <f aca="false">PI()*POWER((U44/200),2)</f>
        <v>0</v>
      </c>
    </row>
    <row r="45" customFormat="false" ht="15" hidden="false" customHeight="false" outlineLevel="0" collapsed="false">
      <c r="A45" s="2" t="s">
        <v>20</v>
      </c>
      <c r="B45" s="2" t="n">
        <v>1</v>
      </c>
      <c r="C45" s="33" t="n">
        <v>46264</v>
      </c>
      <c r="D45" s="2" t="n">
        <v>2</v>
      </c>
      <c r="E45" s="2" t="s">
        <v>26</v>
      </c>
      <c r="F45" s="2" t="s">
        <v>27</v>
      </c>
      <c r="G45" s="2" t="s">
        <v>28</v>
      </c>
      <c r="H45" s="2" t="s">
        <v>95</v>
      </c>
      <c r="I45" s="2" t="s">
        <v>30</v>
      </c>
      <c r="J45" s="2" t="n">
        <v>32</v>
      </c>
      <c r="K45" s="32" t="s">
        <v>97</v>
      </c>
      <c r="L45" s="63" t="n">
        <f aca="false">SUM(V45:AB45)</f>
        <v>0</v>
      </c>
      <c r="M45" s="63" t="n">
        <f aca="false">MAX(O45:U45)</f>
        <v>0</v>
      </c>
      <c r="N45" s="15" t="n">
        <f aca="false">COUNTIF(M45,"&gt;9.9")</f>
        <v>0</v>
      </c>
      <c r="O45" s="2" t="s">
        <v>88</v>
      </c>
      <c r="V45" s="63"/>
      <c r="W45" s="63" t="n">
        <f aca="false">PI()*POWER((P45/200),2)</f>
        <v>0</v>
      </c>
      <c r="X45" s="63" t="n">
        <f aca="false">PI()*POWER((Q45/200),2)</f>
        <v>0</v>
      </c>
      <c r="Y45" s="63" t="n">
        <f aca="false">PI()*POWER((R45/200),2)</f>
        <v>0</v>
      </c>
      <c r="Z45" s="63" t="n">
        <f aca="false">PI()*POWER((S45/200),2)</f>
        <v>0</v>
      </c>
      <c r="AA45" s="63" t="n">
        <f aca="false">PI()*POWER((T45/200),2)</f>
        <v>0</v>
      </c>
      <c r="AB45" s="63" t="n">
        <f aca="false">PI()*POWER((U45/200),2)</f>
        <v>0</v>
      </c>
    </row>
    <row r="46" customFormat="false" ht="15" hidden="false" customHeight="false" outlineLevel="0" collapsed="false">
      <c r="A46" s="2" t="s">
        <v>20</v>
      </c>
      <c r="B46" s="2" t="n">
        <v>1</v>
      </c>
      <c r="C46" s="33" t="n">
        <v>46264</v>
      </c>
      <c r="D46" s="2" t="n">
        <v>2</v>
      </c>
      <c r="E46" s="2" t="s">
        <v>26</v>
      </c>
      <c r="F46" s="2" t="s">
        <v>27</v>
      </c>
      <c r="G46" s="2" t="s">
        <v>28</v>
      </c>
      <c r="H46" s="2" t="s">
        <v>95</v>
      </c>
      <c r="I46" s="2" t="s">
        <v>30</v>
      </c>
      <c r="J46" s="2" t="n">
        <v>33</v>
      </c>
      <c r="K46" s="32" t="s">
        <v>97</v>
      </c>
      <c r="L46" s="63" t="n">
        <f aca="false">SUM(V46:AB46)</f>
        <v>0</v>
      </c>
      <c r="M46" s="63" t="n">
        <f aca="false">MAX(O46:U46)</f>
        <v>0</v>
      </c>
      <c r="N46" s="15" t="n">
        <f aca="false">COUNTIF(M46,"&gt;9.9")</f>
        <v>0</v>
      </c>
      <c r="O46" s="2" t="s">
        <v>88</v>
      </c>
      <c r="V46" s="63"/>
      <c r="W46" s="63" t="n">
        <f aca="false">PI()*POWER((P46/200),2)</f>
        <v>0</v>
      </c>
      <c r="X46" s="63" t="n">
        <f aca="false">PI()*POWER((Q46/200),2)</f>
        <v>0</v>
      </c>
      <c r="Y46" s="63" t="n">
        <f aca="false">PI()*POWER((R46/200),2)</f>
        <v>0</v>
      </c>
      <c r="Z46" s="63" t="n">
        <f aca="false">PI()*POWER((S46/200),2)</f>
        <v>0</v>
      </c>
      <c r="AA46" s="63" t="n">
        <f aca="false">PI()*POWER((T46/200),2)</f>
        <v>0</v>
      </c>
      <c r="AB46" s="63" t="n">
        <f aca="false">PI()*POWER((U46/200),2)</f>
        <v>0</v>
      </c>
    </row>
    <row r="47" customFormat="false" ht="15" hidden="false" customHeight="false" outlineLevel="0" collapsed="false">
      <c r="A47" s="2" t="s">
        <v>20</v>
      </c>
      <c r="B47" s="2" t="n">
        <v>1</v>
      </c>
      <c r="C47" s="33" t="n">
        <v>46264</v>
      </c>
      <c r="D47" s="2" t="n">
        <v>2</v>
      </c>
      <c r="E47" s="2" t="s">
        <v>26</v>
      </c>
      <c r="F47" s="2" t="s">
        <v>27</v>
      </c>
      <c r="G47" s="2" t="s">
        <v>28</v>
      </c>
      <c r="H47" s="2" t="s">
        <v>95</v>
      </c>
      <c r="I47" s="2" t="s">
        <v>30</v>
      </c>
      <c r="J47" s="2" t="n">
        <v>34</v>
      </c>
      <c r="K47" s="32" t="s">
        <v>97</v>
      </c>
      <c r="L47" s="63" t="n">
        <f aca="false">SUM(V47:AB47)</f>
        <v>0</v>
      </c>
      <c r="M47" s="63" t="n">
        <f aca="false">MAX(O47:U47)</f>
        <v>0</v>
      </c>
      <c r="N47" s="15" t="n">
        <f aca="false">COUNTIF(M47,"&gt;9.9")</f>
        <v>0</v>
      </c>
      <c r="O47" s="2" t="s">
        <v>88</v>
      </c>
      <c r="V47" s="63"/>
      <c r="W47" s="63" t="n">
        <f aca="false">PI()*POWER((P47/200),2)</f>
        <v>0</v>
      </c>
      <c r="X47" s="63" t="n">
        <f aca="false">PI()*POWER((Q47/200),2)</f>
        <v>0</v>
      </c>
      <c r="Y47" s="63" t="n">
        <f aca="false">PI()*POWER((R47/200),2)</f>
        <v>0</v>
      </c>
      <c r="Z47" s="63" t="n">
        <f aca="false">PI()*POWER((S47/200),2)</f>
        <v>0</v>
      </c>
      <c r="AA47" s="63" t="n">
        <f aca="false">PI()*POWER((T47/200),2)</f>
        <v>0</v>
      </c>
      <c r="AB47" s="63" t="n">
        <f aca="false">PI()*POWER((U47/200),2)</f>
        <v>0</v>
      </c>
    </row>
    <row r="48" customFormat="false" ht="15" hidden="false" customHeight="false" outlineLevel="0" collapsed="false">
      <c r="A48" s="2" t="s">
        <v>20</v>
      </c>
      <c r="B48" s="2" t="n">
        <v>1</v>
      </c>
      <c r="C48" s="33" t="n">
        <v>46264</v>
      </c>
      <c r="D48" s="2" t="n">
        <v>2</v>
      </c>
      <c r="E48" s="2" t="s">
        <v>26</v>
      </c>
      <c r="F48" s="2" t="s">
        <v>27</v>
      </c>
      <c r="G48" s="2" t="s">
        <v>28</v>
      </c>
      <c r="H48" s="2" t="s">
        <v>95</v>
      </c>
      <c r="I48" s="2" t="s">
        <v>30</v>
      </c>
      <c r="J48" s="2" t="n">
        <v>35</v>
      </c>
      <c r="K48" s="32" t="s">
        <v>97</v>
      </c>
      <c r="L48" s="63" t="n">
        <f aca="false">SUM(V48:AB48)</f>
        <v>0</v>
      </c>
      <c r="M48" s="63" t="n">
        <f aca="false">MAX(O48:U48)</f>
        <v>0</v>
      </c>
      <c r="N48" s="15" t="n">
        <f aca="false">COUNTIF(M48,"&gt;9.9")</f>
        <v>0</v>
      </c>
      <c r="O48" s="2" t="s">
        <v>88</v>
      </c>
      <c r="V48" s="63"/>
      <c r="W48" s="63" t="n">
        <f aca="false">PI()*POWER((P48/200),2)</f>
        <v>0</v>
      </c>
      <c r="X48" s="63" t="n">
        <f aca="false">PI()*POWER((Q48/200),2)</f>
        <v>0</v>
      </c>
      <c r="Y48" s="63" t="n">
        <f aca="false">PI()*POWER((R48/200),2)</f>
        <v>0</v>
      </c>
      <c r="Z48" s="63" t="n">
        <f aca="false">PI()*POWER((S48/200),2)</f>
        <v>0</v>
      </c>
      <c r="AA48" s="63" t="n">
        <f aca="false">PI()*POWER((T48/200),2)</f>
        <v>0</v>
      </c>
      <c r="AB48" s="63" t="n">
        <f aca="false">PI()*POWER((U48/200),2)</f>
        <v>0</v>
      </c>
    </row>
    <row r="49" customFormat="false" ht="15" hidden="false" customHeight="false" outlineLevel="0" collapsed="false">
      <c r="A49" s="2" t="s">
        <v>20</v>
      </c>
      <c r="B49" s="2" t="n">
        <v>1</v>
      </c>
      <c r="C49" s="33" t="n">
        <v>46264</v>
      </c>
      <c r="D49" s="2" t="n">
        <v>2</v>
      </c>
      <c r="E49" s="2" t="s">
        <v>26</v>
      </c>
      <c r="F49" s="2" t="s">
        <v>27</v>
      </c>
      <c r="G49" s="2" t="s">
        <v>28</v>
      </c>
      <c r="H49" s="2" t="s">
        <v>95</v>
      </c>
      <c r="I49" s="2" t="s">
        <v>30</v>
      </c>
      <c r="J49" s="2" t="n">
        <v>36</v>
      </c>
      <c r="K49" s="32" t="s">
        <v>97</v>
      </c>
      <c r="L49" s="63" t="n">
        <f aca="false">SUM(V49:AB49)</f>
        <v>0</v>
      </c>
      <c r="M49" s="63" t="n">
        <f aca="false">MAX(O49:U49)</f>
        <v>0</v>
      </c>
      <c r="N49" s="15" t="n">
        <f aca="false">COUNTIF(M49,"&gt;9.9")</f>
        <v>0</v>
      </c>
      <c r="O49" s="2" t="s">
        <v>88</v>
      </c>
      <c r="V49" s="63"/>
      <c r="W49" s="63" t="n">
        <f aca="false">PI()*POWER((P49/200),2)</f>
        <v>0</v>
      </c>
      <c r="X49" s="63" t="n">
        <f aca="false">PI()*POWER((Q49/200),2)</f>
        <v>0</v>
      </c>
      <c r="Y49" s="63" t="n">
        <f aca="false">PI()*POWER((R49/200),2)</f>
        <v>0</v>
      </c>
      <c r="Z49" s="63" t="n">
        <f aca="false">PI()*POWER((S49/200),2)</f>
        <v>0</v>
      </c>
      <c r="AA49" s="63" t="n">
        <f aca="false">PI()*POWER((T49/200),2)</f>
        <v>0</v>
      </c>
      <c r="AB49" s="63" t="n">
        <f aca="false">PI()*POWER((U49/200),2)</f>
        <v>0</v>
      </c>
    </row>
    <row r="50" customFormat="false" ht="15" hidden="false" customHeight="false" outlineLevel="0" collapsed="false">
      <c r="A50" s="2" t="s">
        <v>20</v>
      </c>
      <c r="B50" s="2" t="n">
        <v>1</v>
      </c>
      <c r="C50" s="33" t="n">
        <v>46264</v>
      </c>
      <c r="D50" s="2" t="n">
        <v>2</v>
      </c>
      <c r="E50" s="2" t="s">
        <v>26</v>
      </c>
      <c r="F50" s="2" t="s">
        <v>27</v>
      </c>
      <c r="G50" s="2" t="s">
        <v>28</v>
      </c>
      <c r="H50" s="2" t="s">
        <v>95</v>
      </c>
      <c r="I50" s="2" t="s">
        <v>30</v>
      </c>
      <c r="J50" s="2" t="n">
        <v>22</v>
      </c>
      <c r="K50" s="32" t="s">
        <v>97</v>
      </c>
      <c r="L50" s="63" t="n">
        <f aca="false">SUM(V50:AB50)</f>
        <v>0.000706858347057703</v>
      </c>
      <c r="M50" s="63" t="n">
        <f aca="false">MAX(O50:U50)</f>
        <v>3</v>
      </c>
      <c r="N50" s="15" t="n">
        <f aca="false">COUNTIF(M50,"&gt;9.9")</f>
        <v>0</v>
      </c>
      <c r="O50" s="2" t="n">
        <v>3</v>
      </c>
      <c r="V50" s="63" t="n">
        <f aca="false">PI()*POWER((O50/200),2)</f>
        <v>0.000706858347057703</v>
      </c>
      <c r="W50" s="63" t="n">
        <f aca="false">PI()*POWER((P50/200),2)</f>
        <v>0</v>
      </c>
      <c r="X50" s="63" t="n">
        <f aca="false">PI()*POWER((Q50/200),2)</f>
        <v>0</v>
      </c>
      <c r="Y50" s="63" t="n">
        <f aca="false">PI()*POWER((R50/200),2)</f>
        <v>0</v>
      </c>
      <c r="Z50" s="63" t="n">
        <f aca="false">PI()*POWER((S50/200),2)</f>
        <v>0</v>
      </c>
      <c r="AA50" s="63" t="n">
        <f aca="false">PI()*POWER((T50/200),2)</f>
        <v>0</v>
      </c>
      <c r="AB50" s="63" t="n">
        <f aca="false">PI()*POWER((U50/200),2)</f>
        <v>0</v>
      </c>
    </row>
    <row r="51" customFormat="false" ht="15" hidden="false" customHeight="false" outlineLevel="0" collapsed="false">
      <c r="A51" s="2" t="s">
        <v>20</v>
      </c>
      <c r="B51" s="2" t="n">
        <v>1</v>
      </c>
      <c r="C51" s="33" t="n">
        <v>46264</v>
      </c>
      <c r="D51" s="2" t="n">
        <v>2</v>
      </c>
      <c r="E51" s="2" t="s">
        <v>26</v>
      </c>
      <c r="F51" s="2" t="s">
        <v>27</v>
      </c>
      <c r="G51" s="2" t="s">
        <v>28</v>
      </c>
      <c r="H51" s="2" t="s">
        <v>95</v>
      </c>
      <c r="I51" s="2" t="s">
        <v>30</v>
      </c>
      <c r="J51" s="2" t="n">
        <v>11</v>
      </c>
      <c r="K51" s="32" t="s">
        <v>97</v>
      </c>
      <c r="L51" s="63" t="n">
        <f aca="false">SUM(V51:AB51)</f>
        <v>0.0176714586764426</v>
      </c>
      <c r="M51" s="63" t="n">
        <f aca="false">MAX(O51:U51)</f>
        <v>15</v>
      </c>
      <c r="N51" s="15" t="n">
        <f aca="false">COUNTIF(M51,"&gt;9.9")</f>
        <v>1</v>
      </c>
      <c r="O51" s="2" t="n">
        <v>15</v>
      </c>
      <c r="V51" s="63" t="n">
        <f aca="false">PI()*POWER((O51/200),2)</f>
        <v>0.0176714586764426</v>
      </c>
      <c r="W51" s="63" t="n">
        <f aca="false">PI()*POWER((P51/200),2)</f>
        <v>0</v>
      </c>
      <c r="X51" s="63" t="n">
        <f aca="false">PI()*POWER((Q51/200),2)</f>
        <v>0</v>
      </c>
      <c r="Y51" s="63" t="n">
        <f aca="false">PI()*POWER((R51/200),2)</f>
        <v>0</v>
      </c>
      <c r="Z51" s="63" t="n">
        <f aca="false">PI()*POWER((S51/200),2)</f>
        <v>0</v>
      </c>
      <c r="AA51" s="63" t="n">
        <f aca="false">PI()*POWER((T51/200),2)</f>
        <v>0</v>
      </c>
      <c r="AB51" s="63" t="n">
        <f aca="false">PI()*POWER((U51/200),2)</f>
        <v>0</v>
      </c>
    </row>
    <row r="52" customFormat="false" ht="15" hidden="false" customHeight="false" outlineLevel="0" collapsed="false">
      <c r="A52" s="2" t="s">
        <v>20</v>
      </c>
      <c r="B52" s="2" t="n">
        <v>1</v>
      </c>
      <c r="C52" s="33" t="n">
        <v>46264</v>
      </c>
      <c r="D52" s="2" t="n">
        <v>2</v>
      </c>
      <c r="E52" s="2" t="s">
        <v>26</v>
      </c>
      <c r="F52" s="2" t="s">
        <v>27</v>
      </c>
      <c r="G52" s="2" t="s">
        <v>28</v>
      </c>
      <c r="H52" s="2" t="s">
        <v>95</v>
      </c>
      <c r="I52" s="2" t="s">
        <v>30</v>
      </c>
      <c r="J52" s="2" t="n">
        <v>1</v>
      </c>
      <c r="K52" s="32" t="s">
        <v>97</v>
      </c>
      <c r="L52" s="63" t="n">
        <f aca="false">SUM(V52:AB52)</f>
        <v>0.0510705155749191</v>
      </c>
      <c r="M52" s="63" t="n">
        <f aca="false">MAX(O52:U52)</f>
        <v>25.5</v>
      </c>
      <c r="N52" s="15" t="n">
        <f aca="false">COUNTIF(M52,"&gt;9.9")</f>
        <v>1</v>
      </c>
      <c r="O52" s="2" t="n">
        <v>25.5</v>
      </c>
      <c r="V52" s="63" t="n">
        <f aca="false">PI()*POWER((O52/200),2)</f>
        <v>0.0510705155749191</v>
      </c>
      <c r="W52" s="63" t="n">
        <f aca="false">PI()*POWER((P52/200),2)</f>
        <v>0</v>
      </c>
      <c r="X52" s="63" t="n">
        <f aca="false">PI()*POWER((Q52/200),2)</f>
        <v>0</v>
      </c>
      <c r="Y52" s="63" t="n">
        <f aca="false">PI()*POWER((R52/200),2)</f>
        <v>0</v>
      </c>
      <c r="Z52" s="63" t="n">
        <f aca="false">PI()*POWER((S52/200),2)</f>
        <v>0</v>
      </c>
      <c r="AA52" s="63" t="n">
        <f aca="false">PI()*POWER((T52/200),2)</f>
        <v>0</v>
      </c>
      <c r="AB52" s="63" t="n">
        <f aca="false">PI()*POWER((U52/200),2)</f>
        <v>0</v>
      </c>
    </row>
    <row r="53" customFormat="false" ht="15" hidden="false" customHeight="false" outlineLevel="0" collapsed="false">
      <c r="A53" s="2" t="s">
        <v>20</v>
      </c>
      <c r="B53" s="2" t="n">
        <v>1</v>
      </c>
      <c r="C53" s="33" t="n">
        <v>46264</v>
      </c>
      <c r="D53" s="2" t="n">
        <v>2</v>
      </c>
      <c r="E53" s="2" t="s">
        <v>26</v>
      </c>
      <c r="F53" s="2" t="s">
        <v>27</v>
      </c>
      <c r="G53" s="2" t="s">
        <v>28</v>
      </c>
      <c r="H53" s="2" t="s">
        <v>95</v>
      </c>
      <c r="I53" s="2" t="s">
        <v>30</v>
      </c>
      <c r="J53" s="2" t="n">
        <v>9</v>
      </c>
      <c r="K53" s="32" t="s">
        <v>97</v>
      </c>
      <c r="L53" s="63" t="n">
        <f aca="false">SUM(V53:AB53)</f>
        <v>0.059395736106932</v>
      </c>
      <c r="M53" s="63" t="n">
        <f aca="false">MAX(O53:U53)</f>
        <v>27.5</v>
      </c>
      <c r="N53" s="15" t="n">
        <f aca="false">COUNTIF(M53,"&gt;9.9")</f>
        <v>1</v>
      </c>
      <c r="O53" s="2" t="n">
        <v>27.5</v>
      </c>
      <c r="V53" s="63" t="n">
        <f aca="false">PI()*POWER((O53/200),2)</f>
        <v>0.059395736106932</v>
      </c>
      <c r="W53" s="63" t="n">
        <f aca="false">PI()*POWER((P53/200),2)</f>
        <v>0</v>
      </c>
      <c r="X53" s="63" t="n">
        <f aca="false">PI()*POWER((Q53/200),2)</f>
        <v>0</v>
      </c>
      <c r="Y53" s="63" t="n">
        <f aca="false">PI()*POWER((R53/200),2)</f>
        <v>0</v>
      </c>
      <c r="Z53" s="63" t="n">
        <f aca="false">PI()*POWER((S53/200),2)</f>
        <v>0</v>
      </c>
      <c r="AA53" s="63" t="n">
        <f aca="false">PI()*POWER((T53/200),2)</f>
        <v>0</v>
      </c>
      <c r="AB53" s="63" t="n">
        <f aca="false">PI()*POWER((U53/200),2)</f>
        <v>0</v>
      </c>
    </row>
    <row r="54" customFormat="false" ht="15" hidden="false" customHeight="false" outlineLevel="0" collapsed="false">
      <c r="A54" s="2" t="s">
        <v>20</v>
      </c>
      <c r="B54" s="2" t="n">
        <v>1</v>
      </c>
      <c r="C54" s="33" t="n">
        <v>46264</v>
      </c>
      <c r="D54" s="2" t="n">
        <v>2</v>
      </c>
      <c r="E54" s="2" t="s">
        <v>26</v>
      </c>
      <c r="F54" s="2" t="s">
        <v>27</v>
      </c>
      <c r="G54" s="2" t="s">
        <v>28</v>
      </c>
      <c r="H54" s="2" t="s">
        <v>95</v>
      </c>
      <c r="I54" s="2" t="s">
        <v>30</v>
      </c>
      <c r="J54" s="2" t="n">
        <v>4</v>
      </c>
      <c r="K54" s="32" t="s">
        <v>97</v>
      </c>
      <c r="L54" s="63" t="n">
        <f aca="false">SUM(V54:AB54)</f>
        <v>0.0660519855417254</v>
      </c>
      <c r="M54" s="63" t="n">
        <f aca="false">MAX(O54:U54)</f>
        <v>29</v>
      </c>
      <c r="N54" s="15" t="n">
        <f aca="false">COUNTIF(M54,"&gt;9.9")</f>
        <v>1</v>
      </c>
      <c r="O54" s="2" t="n">
        <v>29</v>
      </c>
      <c r="V54" s="63" t="n">
        <f aca="false">PI()*POWER((O54/200),2)</f>
        <v>0.0660519855417254</v>
      </c>
      <c r="W54" s="63" t="n">
        <f aca="false">PI()*POWER((P54/200),2)</f>
        <v>0</v>
      </c>
      <c r="X54" s="63" t="n">
        <f aca="false">PI()*POWER((Q54/200),2)</f>
        <v>0</v>
      </c>
      <c r="Y54" s="63" t="n">
        <f aca="false">PI()*POWER((R54/200),2)</f>
        <v>0</v>
      </c>
      <c r="Z54" s="63" t="n">
        <f aca="false">PI()*POWER((S54/200),2)</f>
        <v>0</v>
      </c>
      <c r="AA54" s="63" t="n">
        <f aca="false">PI()*POWER((T54/200),2)</f>
        <v>0</v>
      </c>
      <c r="AB54" s="63" t="n">
        <f aca="false">PI()*POWER((U54/200),2)</f>
        <v>0</v>
      </c>
    </row>
    <row r="55" customFormat="false" ht="15" hidden="false" customHeight="false" outlineLevel="0" collapsed="false">
      <c r="A55" s="2" t="s">
        <v>20</v>
      </c>
      <c r="B55" s="2" t="n">
        <v>1</v>
      </c>
      <c r="C55" s="33" t="n">
        <v>46264</v>
      </c>
      <c r="D55" s="2" t="n">
        <v>2</v>
      </c>
      <c r="E55" s="2" t="s">
        <v>26</v>
      </c>
      <c r="F55" s="2" t="s">
        <v>27</v>
      </c>
      <c r="G55" s="2" t="s">
        <v>28</v>
      </c>
      <c r="H55" s="2" t="s">
        <v>95</v>
      </c>
      <c r="I55" s="2" t="s">
        <v>30</v>
      </c>
      <c r="J55" s="2" t="n">
        <v>10</v>
      </c>
      <c r="K55" s="32" t="s">
        <v>97</v>
      </c>
      <c r="L55" s="63" t="n">
        <f aca="false">SUM(V55:AB55)</f>
        <v>0.0934820163983813</v>
      </c>
      <c r="M55" s="63" t="n">
        <f aca="false">MAX(O55:U55)</f>
        <v>34.5</v>
      </c>
      <c r="N55" s="15" t="n">
        <f aca="false">COUNTIF(M55,"&gt;9.9")</f>
        <v>1</v>
      </c>
      <c r="O55" s="2" t="n">
        <v>34.5</v>
      </c>
      <c r="V55" s="63" t="n">
        <f aca="false">PI()*POWER((O55/200),2)</f>
        <v>0.0934820163983813</v>
      </c>
      <c r="W55" s="63" t="n">
        <f aca="false">PI()*POWER((P55/200),2)</f>
        <v>0</v>
      </c>
      <c r="X55" s="63" t="n">
        <f aca="false">PI()*POWER((Q55/200),2)</f>
        <v>0</v>
      </c>
      <c r="Y55" s="63" t="n">
        <f aca="false">PI()*POWER((R55/200),2)</f>
        <v>0</v>
      </c>
      <c r="Z55" s="63" t="n">
        <f aca="false">PI()*POWER((S55/200),2)</f>
        <v>0</v>
      </c>
      <c r="AA55" s="63" t="n">
        <f aca="false">PI()*POWER((T55/200),2)</f>
        <v>0</v>
      </c>
      <c r="AB55" s="63" t="n">
        <f aca="false">PI()*POWER((U55/200),2)</f>
        <v>0</v>
      </c>
    </row>
    <row r="56" customFormat="false" ht="15" hidden="false" customHeight="false" outlineLevel="0" collapsed="false">
      <c r="A56" s="2" t="s">
        <v>20</v>
      </c>
      <c r="B56" s="2" t="n">
        <v>1</v>
      </c>
      <c r="C56" s="33" t="n">
        <v>46264</v>
      </c>
      <c r="D56" s="2" t="n">
        <v>2</v>
      </c>
      <c r="E56" s="2" t="s">
        <v>26</v>
      </c>
      <c r="F56" s="2" t="s">
        <v>27</v>
      </c>
      <c r="G56" s="2" t="s">
        <v>28</v>
      </c>
      <c r="H56" s="2" t="s">
        <v>95</v>
      </c>
      <c r="I56" s="2" t="s">
        <v>30</v>
      </c>
      <c r="J56" s="2" t="n">
        <v>2</v>
      </c>
      <c r="K56" s="32" t="s">
        <v>97</v>
      </c>
      <c r="L56" s="63" t="n">
        <f aca="false">SUM(V56:AB56)</f>
        <v>0.113411494794592</v>
      </c>
      <c r="M56" s="63" t="n">
        <f aca="false">MAX(O56:U56)</f>
        <v>38</v>
      </c>
      <c r="N56" s="15" t="n">
        <f aca="false">COUNTIF(M56,"&gt;9.9")</f>
        <v>1</v>
      </c>
      <c r="O56" s="2" t="n">
        <v>38</v>
      </c>
      <c r="V56" s="63" t="n">
        <f aca="false">PI()*POWER((O56/200),2)</f>
        <v>0.113411494794592</v>
      </c>
      <c r="W56" s="63" t="n">
        <f aca="false">PI()*POWER((P56/200),2)</f>
        <v>0</v>
      </c>
      <c r="X56" s="63" t="n">
        <f aca="false">PI()*POWER((Q56/200),2)</f>
        <v>0</v>
      </c>
      <c r="Y56" s="63" t="n">
        <f aca="false">PI()*POWER((R56/200),2)</f>
        <v>0</v>
      </c>
      <c r="Z56" s="63" t="n">
        <f aca="false">PI()*POWER((S56/200),2)</f>
        <v>0</v>
      </c>
      <c r="AA56" s="63" t="n">
        <f aca="false">PI()*POWER((T56/200),2)</f>
        <v>0</v>
      </c>
      <c r="AB56" s="63" t="n">
        <f aca="false">PI()*POWER((U56/200),2)</f>
        <v>0</v>
      </c>
    </row>
    <row r="57" customFormat="false" ht="15" hidden="false" customHeight="false" outlineLevel="0" collapsed="false">
      <c r="A57" s="2" t="s">
        <v>20</v>
      </c>
      <c r="B57" s="2" t="n">
        <v>1</v>
      </c>
      <c r="C57" s="33" t="n">
        <v>46264</v>
      </c>
      <c r="D57" s="2" t="n">
        <v>2</v>
      </c>
      <c r="E57" s="2" t="s">
        <v>26</v>
      </c>
      <c r="F57" s="2" t="s">
        <v>27</v>
      </c>
      <c r="G57" s="2" t="s">
        <v>28</v>
      </c>
      <c r="H57" s="2" t="s">
        <v>95</v>
      </c>
      <c r="I57" s="2" t="s">
        <v>30</v>
      </c>
      <c r="J57" s="2" t="n">
        <v>3</v>
      </c>
      <c r="K57" s="32" t="s">
        <v>97</v>
      </c>
      <c r="L57" s="63" t="n">
        <f aca="false">SUM(V57:AB57)</f>
        <v>0.119459060652752</v>
      </c>
      <c r="M57" s="63" t="n">
        <f aca="false">MAX(O57:U57)</f>
        <v>39</v>
      </c>
      <c r="N57" s="15" t="n">
        <f aca="false">COUNTIF(M57,"&gt;9.9")</f>
        <v>1</v>
      </c>
      <c r="O57" s="2" t="n">
        <v>39</v>
      </c>
      <c r="V57" s="63" t="n">
        <f aca="false">PI()*POWER((O57/200),2)</f>
        <v>0.119459060652752</v>
      </c>
      <c r="W57" s="63" t="n">
        <f aca="false">PI()*POWER((P57/200),2)</f>
        <v>0</v>
      </c>
      <c r="X57" s="63" t="n">
        <f aca="false">PI()*POWER((Q57/200),2)</f>
        <v>0</v>
      </c>
      <c r="Y57" s="63" t="n">
        <f aca="false">PI()*POWER((R57/200),2)</f>
        <v>0</v>
      </c>
      <c r="Z57" s="63" t="n">
        <f aca="false">PI()*POWER((S57/200),2)</f>
        <v>0</v>
      </c>
      <c r="AA57" s="63" t="n">
        <f aca="false">PI()*POWER((T57/200),2)</f>
        <v>0</v>
      </c>
      <c r="AB57" s="63" t="n">
        <f aca="false">PI()*POWER((U57/200),2)</f>
        <v>0</v>
      </c>
    </row>
    <row r="58" customFormat="false" ht="15" hidden="false" customHeight="false" outlineLevel="0" collapsed="false">
      <c r="A58" s="2" t="s">
        <v>20</v>
      </c>
      <c r="B58" s="2" t="n">
        <v>1</v>
      </c>
      <c r="C58" s="33" t="n">
        <v>46264</v>
      </c>
      <c r="D58" s="2" t="n">
        <v>2</v>
      </c>
      <c r="E58" s="2" t="s">
        <v>26</v>
      </c>
      <c r="F58" s="2" t="s">
        <v>27</v>
      </c>
      <c r="G58" s="2" t="s">
        <v>28</v>
      </c>
      <c r="H58" s="2" t="s">
        <v>95</v>
      </c>
      <c r="I58" s="2" t="s">
        <v>30</v>
      </c>
      <c r="J58" s="2" t="n">
        <v>8</v>
      </c>
      <c r="K58" s="32" t="s">
        <v>97</v>
      </c>
      <c r="L58" s="63" t="n">
        <f aca="false">SUM(V58:AB58)</f>
        <v>0.180202540008074</v>
      </c>
      <c r="M58" s="63" t="n">
        <f aca="false">MAX(O58:U58)</f>
        <v>47.9</v>
      </c>
      <c r="N58" s="15" t="n">
        <f aca="false">COUNTIF(M58,"&gt;9.9")</f>
        <v>1</v>
      </c>
      <c r="O58" s="2" t="n">
        <v>47.9</v>
      </c>
      <c r="V58" s="63" t="n">
        <f aca="false">PI()*POWER((O58/200),2)</f>
        <v>0.180202540008074</v>
      </c>
      <c r="W58" s="63" t="n">
        <f aca="false">PI()*POWER((P58/200),2)</f>
        <v>0</v>
      </c>
      <c r="X58" s="63" t="n">
        <f aca="false">PI()*POWER((Q58/200),2)</f>
        <v>0</v>
      </c>
      <c r="Y58" s="63" t="n">
        <f aca="false">PI()*POWER((R58/200),2)</f>
        <v>0</v>
      </c>
      <c r="Z58" s="63" t="n">
        <f aca="false">PI()*POWER((S58/200),2)</f>
        <v>0</v>
      </c>
      <c r="AA58" s="63" t="n">
        <f aca="false">PI()*POWER((T58/200),2)</f>
        <v>0</v>
      </c>
      <c r="AB58" s="63" t="n">
        <f aca="false">PI()*POWER((U58/200),2)</f>
        <v>0</v>
      </c>
    </row>
    <row r="59" customFormat="false" ht="15" hidden="false" customHeight="false" outlineLevel="0" collapsed="false">
      <c r="A59" s="2" t="s">
        <v>20</v>
      </c>
      <c r="B59" s="2" t="n">
        <v>1</v>
      </c>
      <c r="C59" s="33" t="n">
        <v>46264</v>
      </c>
      <c r="D59" s="2" t="n">
        <v>2</v>
      </c>
      <c r="E59" s="2" t="s">
        <v>26</v>
      </c>
      <c r="F59" s="2" t="s">
        <v>27</v>
      </c>
      <c r="G59" s="2" t="s">
        <v>28</v>
      </c>
      <c r="H59" s="2" t="s">
        <v>95</v>
      </c>
      <c r="I59" s="2" t="s">
        <v>30</v>
      </c>
      <c r="J59" s="2" t="n">
        <v>7</v>
      </c>
      <c r="K59" s="32" t="s">
        <v>97</v>
      </c>
      <c r="L59" s="63" t="n">
        <f aca="false">SUM(V59:AB59)</f>
        <v>0.371194094586739</v>
      </c>
      <c r="M59" s="63" t="n">
        <f aca="false">MAX(O59:U59)</f>
        <v>48.5</v>
      </c>
      <c r="N59" s="15" t="n">
        <f aca="false">COUNTIF(M59,"&gt;9.9")</f>
        <v>1</v>
      </c>
      <c r="O59" s="2" t="n">
        <v>32.5</v>
      </c>
      <c r="P59" s="2" t="n">
        <v>36.3</v>
      </c>
      <c r="Q59" s="2" t="n">
        <v>48.5</v>
      </c>
      <c r="V59" s="63" t="n">
        <f aca="false">PI()*POWER((O59/200),2)</f>
        <v>0.0829576810088555</v>
      </c>
      <c r="W59" s="63" t="n">
        <f aca="false">PI()*POWER((P59/200),2)</f>
        <v>0.103491130592718</v>
      </c>
      <c r="X59" s="63" t="n">
        <f aca="false">PI()*POWER((Q59/200),2)</f>
        <v>0.184745282985165</v>
      </c>
      <c r="Y59" s="63" t="n">
        <f aca="false">PI()*POWER((R59/200),2)</f>
        <v>0</v>
      </c>
      <c r="Z59" s="63" t="n">
        <f aca="false">PI()*POWER((S59/200),2)</f>
        <v>0</v>
      </c>
      <c r="AA59" s="63" t="n">
        <f aca="false">PI()*POWER((T59/200),2)</f>
        <v>0</v>
      </c>
      <c r="AB59" s="63" t="n">
        <f aca="false">PI()*POWER((U59/200),2)</f>
        <v>0</v>
      </c>
    </row>
    <row r="60" customFormat="false" ht="15" hidden="false" customHeight="false" outlineLevel="0" collapsed="false">
      <c r="A60" s="2" t="s">
        <v>20</v>
      </c>
      <c r="B60" s="2" t="n">
        <v>1</v>
      </c>
      <c r="C60" s="33" t="n">
        <v>46264</v>
      </c>
      <c r="D60" s="2" t="n">
        <v>2</v>
      </c>
      <c r="E60" s="2" t="s">
        <v>26</v>
      </c>
      <c r="F60" s="2" t="s">
        <v>27</v>
      </c>
      <c r="G60" s="2" t="s">
        <v>28</v>
      </c>
      <c r="H60" s="2" t="s">
        <v>95</v>
      </c>
      <c r="I60" s="2" t="s">
        <v>30</v>
      </c>
      <c r="J60" s="2" t="n">
        <v>5</v>
      </c>
      <c r="K60" s="32" t="s">
        <v>97</v>
      </c>
      <c r="L60" s="63" t="n">
        <f aca="false">SUM(V60:AB60)</f>
        <v>0.190890238215586</v>
      </c>
      <c r="M60" s="63" t="n">
        <f aca="false">MAX(O60:U60)</f>
        <v>49.3</v>
      </c>
      <c r="N60" s="15" t="n">
        <f aca="false">COUNTIF(M60,"&gt;9.9")</f>
        <v>1</v>
      </c>
      <c r="O60" s="2" t="n">
        <v>49.3</v>
      </c>
      <c r="V60" s="63" t="n">
        <f aca="false">PI()*POWER((O60/200),2)</f>
        <v>0.190890238215586</v>
      </c>
      <c r="W60" s="63" t="n">
        <f aca="false">PI()*POWER((P60/200),2)</f>
        <v>0</v>
      </c>
      <c r="X60" s="63" t="n">
        <f aca="false">PI()*POWER((Q60/200),2)</f>
        <v>0</v>
      </c>
      <c r="Y60" s="63" t="n">
        <f aca="false">PI()*POWER((R60/200),2)</f>
        <v>0</v>
      </c>
      <c r="Z60" s="63" t="n">
        <f aca="false">PI()*POWER((S60/200),2)</f>
        <v>0</v>
      </c>
      <c r="AA60" s="63" t="n">
        <f aca="false">PI()*POWER((T60/200),2)</f>
        <v>0</v>
      </c>
      <c r="AB60" s="63" t="n">
        <f aca="false">PI()*POWER((U60/200),2)</f>
        <v>0</v>
      </c>
    </row>
    <row r="61" customFormat="false" ht="15" hidden="false" customHeight="false" outlineLevel="0" collapsed="false">
      <c r="A61" s="2" t="s">
        <v>20</v>
      </c>
      <c r="B61" s="2" t="n">
        <v>1</v>
      </c>
      <c r="C61" s="33" t="n">
        <v>46264</v>
      </c>
      <c r="D61" s="2" t="n">
        <v>2</v>
      </c>
      <c r="E61" s="2" t="s">
        <v>26</v>
      </c>
      <c r="F61" s="2" t="s">
        <v>27</v>
      </c>
      <c r="G61" s="2" t="s">
        <v>28</v>
      </c>
      <c r="H61" s="2" t="s">
        <v>95</v>
      </c>
      <c r="I61" s="2" t="s">
        <v>30</v>
      </c>
      <c r="J61" s="2" t="n">
        <v>6</v>
      </c>
      <c r="K61" s="32" t="s">
        <v>97</v>
      </c>
      <c r="L61" s="63" t="n">
        <f aca="false">SUM(V61:AB61)</f>
        <v>0.785398163397448</v>
      </c>
      <c r="M61" s="63" t="n">
        <f aca="false">MAX(O61:U61)</f>
        <v>100</v>
      </c>
      <c r="N61" s="15" t="n">
        <f aca="false">COUNTIF(M61,"&gt;9.9")</f>
        <v>1</v>
      </c>
      <c r="O61" s="2" t="n">
        <v>100</v>
      </c>
      <c r="V61" s="63" t="n">
        <f aca="false">PI()*POWER((O61/200),2)</f>
        <v>0.785398163397448</v>
      </c>
      <c r="W61" s="63" t="n">
        <f aca="false">PI()*POWER((P61/200),2)</f>
        <v>0</v>
      </c>
      <c r="X61" s="63" t="n">
        <f aca="false">PI()*POWER((Q61/200),2)</f>
        <v>0</v>
      </c>
      <c r="Y61" s="63" t="n">
        <f aca="false">PI()*POWER((R61/200),2)</f>
        <v>0</v>
      </c>
      <c r="Z61" s="63" t="n">
        <f aca="false">PI()*POWER((S61/200),2)</f>
        <v>0</v>
      </c>
      <c r="AA61" s="63" t="n">
        <f aca="false">PI()*POWER((T61/200),2)</f>
        <v>0</v>
      </c>
      <c r="AB61" s="63" t="n">
        <f aca="false">PI()*POWER((U61/200),2)</f>
        <v>0</v>
      </c>
    </row>
    <row r="62" customFormat="false" ht="15" hidden="false" customHeight="false" outlineLevel="0" collapsed="false">
      <c r="A62" s="2" t="s">
        <v>20</v>
      </c>
      <c r="B62" s="2" t="n">
        <v>1</v>
      </c>
      <c r="C62" s="64" t="n">
        <v>46264</v>
      </c>
      <c r="D62" s="2" t="n">
        <v>3</v>
      </c>
      <c r="E62" s="2" t="s">
        <v>32</v>
      </c>
      <c r="F62" s="2" t="s">
        <v>140</v>
      </c>
      <c r="G62" s="2" t="s">
        <v>31</v>
      </c>
      <c r="H62" s="2" t="s">
        <v>34</v>
      </c>
      <c r="I62" s="2" t="s">
        <v>25</v>
      </c>
      <c r="J62" s="2" t="n">
        <v>1</v>
      </c>
      <c r="K62" s="32" t="s">
        <v>97</v>
      </c>
      <c r="L62" s="15" t="n">
        <f aca="false">SUM(V62:AB62)</f>
        <v>0</v>
      </c>
      <c r="M62" s="63" t="n">
        <f aca="false">MAX(O62:U62)</f>
        <v>0</v>
      </c>
      <c r="N62" s="15" t="n">
        <f aca="false">COUNTIF(M62,"&gt;9.9")</f>
        <v>0</v>
      </c>
      <c r="O62" s="2" t="n">
        <v>0</v>
      </c>
      <c r="V62" s="15" t="n">
        <f aca="false">PI()*POWER((O62/200),2)</f>
        <v>0</v>
      </c>
      <c r="W62" s="15" t="n">
        <f aca="false">PI()*POWER((P62/200),2)</f>
        <v>0</v>
      </c>
      <c r="X62" s="15" t="n">
        <f aca="false">PI()*POWER((Q62/200),2)</f>
        <v>0</v>
      </c>
      <c r="Y62" s="15" t="n">
        <f aca="false">PI()*POWER((R62/200),2)</f>
        <v>0</v>
      </c>
      <c r="Z62" s="15" t="n">
        <f aca="false">PI()*POWER((S62/200),2)</f>
        <v>0</v>
      </c>
      <c r="AA62" s="15" t="n">
        <f aca="false">PI()*POWER((T62/200),2)</f>
        <v>0</v>
      </c>
      <c r="AB62" s="15" t="n">
        <f aca="false">PI()*POWER((U62/200),2)</f>
        <v>0</v>
      </c>
    </row>
    <row r="63" customFormat="false" ht="15" hidden="false" customHeight="false" outlineLevel="0" collapsed="false">
      <c r="A63" s="2" t="s">
        <v>20</v>
      </c>
      <c r="B63" s="2" t="n">
        <v>1</v>
      </c>
      <c r="C63" s="64" t="n">
        <v>46264</v>
      </c>
      <c r="D63" s="2" t="n">
        <v>3</v>
      </c>
      <c r="E63" s="2" t="s">
        <v>32</v>
      </c>
      <c r="F63" s="2" t="s">
        <v>140</v>
      </c>
      <c r="G63" s="2" t="s">
        <v>31</v>
      </c>
      <c r="H63" s="2" t="s">
        <v>34</v>
      </c>
      <c r="I63" s="2" t="s">
        <v>25</v>
      </c>
      <c r="J63" s="2" t="n">
        <v>12</v>
      </c>
      <c r="K63" s="32" t="s">
        <v>97</v>
      </c>
      <c r="L63" s="15" t="n">
        <f aca="false">SUM(V63:AB63)</f>
        <v>0.0158367685667461</v>
      </c>
      <c r="M63" s="63" t="n">
        <f aca="false">MAX(O63:U63)</f>
        <v>14.2</v>
      </c>
      <c r="N63" s="15" t="n">
        <f aca="false">COUNTIF(M63,"&gt;9.9")</f>
        <v>1</v>
      </c>
      <c r="O63" s="2" t="n">
        <v>14.2</v>
      </c>
      <c r="V63" s="15" t="n">
        <f aca="false">PI()*POWER((O63/200),2)</f>
        <v>0.0158367685667461</v>
      </c>
      <c r="W63" s="15" t="n">
        <f aca="false">PI()*POWER((P63/200),2)</f>
        <v>0</v>
      </c>
      <c r="X63" s="15" t="n">
        <f aca="false">PI()*POWER((Q63/200),2)</f>
        <v>0</v>
      </c>
      <c r="Y63" s="15" t="n">
        <f aca="false">PI()*POWER((R63/200),2)</f>
        <v>0</v>
      </c>
      <c r="Z63" s="15" t="n">
        <f aca="false">PI()*POWER((S63/200),2)</f>
        <v>0</v>
      </c>
      <c r="AA63" s="15" t="n">
        <f aca="false">PI()*POWER((T63/200),2)</f>
        <v>0</v>
      </c>
      <c r="AB63" s="15" t="n">
        <f aca="false">PI()*POWER((U63/200),2)</f>
        <v>0</v>
      </c>
    </row>
    <row r="64" customFormat="false" ht="15" hidden="false" customHeight="false" outlineLevel="0" collapsed="false">
      <c r="A64" s="2" t="s">
        <v>20</v>
      </c>
      <c r="B64" s="2" t="n">
        <v>1</v>
      </c>
      <c r="C64" s="64" t="n">
        <v>46264</v>
      </c>
      <c r="D64" s="2" t="n">
        <v>3</v>
      </c>
      <c r="E64" s="2" t="s">
        <v>140</v>
      </c>
      <c r="F64" s="2" t="s">
        <v>32</v>
      </c>
      <c r="G64" s="2" t="s">
        <v>31</v>
      </c>
      <c r="H64" s="2" t="s">
        <v>34</v>
      </c>
      <c r="I64" s="2" t="s">
        <v>25</v>
      </c>
      <c r="J64" s="2" t="n">
        <v>21</v>
      </c>
      <c r="K64" s="32" t="s">
        <v>97</v>
      </c>
      <c r="L64" s="15" t="n">
        <f aca="false">SUM(V64:AB64)</f>
        <v>0.01674154725098</v>
      </c>
      <c r="M64" s="63" t="n">
        <f aca="false">MAX(O64:U64)</f>
        <v>14.6</v>
      </c>
      <c r="N64" s="15" t="n">
        <f aca="false">COUNTIF(M64,"&gt;9.9")</f>
        <v>1</v>
      </c>
      <c r="O64" s="2" t="n">
        <v>14.6</v>
      </c>
      <c r="V64" s="15" t="n">
        <f aca="false">PI()*POWER((O64/200),2)</f>
        <v>0.01674154725098</v>
      </c>
      <c r="W64" s="15" t="n">
        <f aca="false">PI()*POWER((P64/200),2)</f>
        <v>0</v>
      </c>
      <c r="X64" s="15" t="n">
        <f aca="false">PI()*POWER((Q64/200),2)</f>
        <v>0</v>
      </c>
      <c r="Y64" s="15" t="n">
        <f aca="false">PI()*POWER((R64/200),2)</f>
        <v>0</v>
      </c>
      <c r="Z64" s="15" t="n">
        <f aca="false">PI()*POWER((S64/200),2)</f>
        <v>0</v>
      </c>
      <c r="AA64" s="15" t="n">
        <f aca="false">PI()*POWER((T64/200),2)</f>
        <v>0</v>
      </c>
      <c r="AB64" s="15" t="n">
        <f aca="false">PI()*POWER((U64/200),2)</f>
        <v>0</v>
      </c>
    </row>
    <row r="65" customFormat="false" ht="15" hidden="false" customHeight="false" outlineLevel="0" collapsed="false">
      <c r="A65" s="2" t="s">
        <v>20</v>
      </c>
      <c r="B65" s="2" t="n">
        <v>1</v>
      </c>
      <c r="C65" s="64" t="n">
        <v>46264</v>
      </c>
      <c r="D65" s="2" t="n">
        <v>3</v>
      </c>
      <c r="E65" s="2" t="s">
        <v>32</v>
      </c>
      <c r="F65" s="2" t="s">
        <v>140</v>
      </c>
      <c r="G65" s="2" t="s">
        <v>31</v>
      </c>
      <c r="H65" s="2" t="s">
        <v>34</v>
      </c>
      <c r="I65" s="2" t="s">
        <v>25</v>
      </c>
      <c r="J65" s="2" t="n">
        <v>9</v>
      </c>
      <c r="K65" s="32" t="s">
        <v>97</v>
      </c>
      <c r="L65" s="15" t="n">
        <f aca="false">SUM(V65:AB65)</f>
        <v>0.0193592793295837</v>
      </c>
      <c r="M65" s="63" t="n">
        <f aca="false">MAX(O65:U65)</f>
        <v>15.7</v>
      </c>
      <c r="N65" s="15" t="n">
        <f aca="false">COUNTIF(M65,"&gt;9.9")</f>
        <v>1</v>
      </c>
      <c r="O65" s="2" t="n">
        <v>15.7</v>
      </c>
      <c r="V65" s="15" t="n">
        <f aca="false">PI()*POWER((O65/200),2)</f>
        <v>0.0193592793295837</v>
      </c>
      <c r="W65" s="15" t="n">
        <f aca="false">PI()*POWER((P65/200),2)</f>
        <v>0</v>
      </c>
      <c r="X65" s="15" t="n">
        <f aca="false">PI()*POWER((Q65/200),2)</f>
        <v>0</v>
      </c>
      <c r="Y65" s="15" t="n">
        <f aca="false">PI()*POWER((R65/200),2)</f>
        <v>0</v>
      </c>
      <c r="Z65" s="15" t="n">
        <f aca="false">PI()*POWER((S65/200),2)</f>
        <v>0</v>
      </c>
      <c r="AA65" s="15" t="n">
        <f aca="false">PI()*POWER((T65/200),2)</f>
        <v>0</v>
      </c>
      <c r="AB65" s="15" t="n">
        <f aca="false">PI()*POWER((U65/200),2)</f>
        <v>0</v>
      </c>
    </row>
    <row r="66" customFormat="false" ht="15" hidden="false" customHeight="false" outlineLevel="0" collapsed="false">
      <c r="A66" s="2" t="s">
        <v>20</v>
      </c>
      <c r="B66" s="2" t="n">
        <v>1</v>
      </c>
      <c r="C66" s="64" t="n">
        <v>46264</v>
      </c>
      <c r="D66" s="2" t="n">
        <v>3</v>
      </c>
      <c r="E66" s="2" t="s">
        <v>32</v>
      </c>
      <c r="F66" s="2" t="s">
        <v>140</v>
      </c>
      <c r="G66" s="2" t="s">
        <v>31</v>
      </c>
      <c r="H66" s="2" t="s">
        <v>34</v>
      </c>
      <c r="I66" s="2" t="s">
        <v>25</v>
      </c>
      <c r="J66" s="2" t="n">
        <v>11</v>
      </c>
      <c r="K66" s="32" t="s">
        <v>97</v>
      </c>
      <c r="L66" s="15" t="n">
        <f aca="false">SUM(V66:AB66)</f>
        <v>0.0201061929829747</v>
      </c>
      <c r="M66" s="63" t="n">
        <f aca="false">MAX(O66:U66)</f>
        <v>16</v>
      </c>
      <c r="N66" s="15" t="n">
        <f aca="false">COUNTIF(M66,"&gt;9.9")</f>
        <v>1</v>
      </c>
      <c r="O66" s="2" t="n">
        <v>16</v>
      </c>
      <c r="V66" s="15" t="n">
        <f aca="false">PI()*POWER((O66/200),2)</f>
        <v>0.0201061929829747</v>
      </c>
      <c r="W66" s="15" t="n">
        <f aca="false">PI()*POWER((P66/200),2)</f>
        <v>0</v>
      </c>
      <c r="X66" s="15" t="n">
        <f aca="false">PI()*POWER((Q66/200),2)</f>
        <v>0</v>
      </c>
      <c r="Y66" s="15" t="n">
        <f aca="false">PI()*POWER((R66/200),2)</f>
        <v>0</v>
      </c>
      <c r="Z66" s="15" t="n">
        <f aca="false">PI()*POWER((S66/200),2)</f>
        <v>0</v>
      </c>
      <c r="AA66" s="15" t="n">
        <f aca="false">PI()*POWER((T66/200),2)</f>
        <v>0</v>
      </c>
      <c r="AB66" s="15" t="n">
        <f aca="false">PI()*POWER((U66/200),2)</f>
        <v>0</v>
      </c>
    </row>
    <row r="67" customFormat="false" ht="15" hidden="false" customHeight="false" outlineLevel="0" collapsed="false">
      <c r="A67" s="2" t="s">
        <v>20</v>
      </c>
      <c r="B67" s="2" t="n">
        <v>1</v>
      </c>
      <c r="C67" s="64" t="n">
        <v>46264</v>
      </c>
      <c r="D67" s="2" t="n">
        <v>3</v>
      </c>
      <c r="E67" s="2" t="s">
        <v>140</v>
      </c>
      <c r="F67" s="2" t="s">
        <v>32</v>
      </c>
      <c r="G67" s="2" t="s">
        <v>31</v>
      </c>
      <c r="H67" s="2" t="s">
        <v>34</v>
      </c>
      <c r="I67" s="2" t="s">
        <v>25</v>
      </c>
      <c r="J67" s="2" t="n">
        <v>26</v>
      </c>
      <c r="K67" s="32" t="s">
        <v>97</v>
      </c>
      <c r="L67" s="15" t="n">
        <f aca="false">SUM(V67:AB67)</f>
        <v>0.0206119894002026</v>
      </c>
      <c r="M67" s="63" t="n">
        <f aca="false">MAX(O67:U67)</f>
        <v>16.2</v>
      </c>
      <c r="N67" s="15" t="n">
        <f aca="false">COUNTIF(M67,"&gt;9.9")</f>
        <v>1</v>
      </c>
      <c r="O67" s="2" t="n">
        <v>16.2</v>
      </c>
      <c r="V67" s="15" t="n">
        <f aca="false">PI()*POWER((O67/200),2)</f>
        <v>0.0206119894002026</v>
      </c>
      <c r="W67" s="15" t="n">
        <f aca="false">PI()*POWER((P67/200),2)</f>
        <v>0</v>
      </c>
      <c r="X67" s="15" t="n">
        <f aca="false">PI()*POWER((Q67/200),2)</f>
        <v>0</v>
      </c>
      <c r="Y67" s="15" t="n">
        <f aca="false">PI()*POWER((R67/200),2)</f>
        <v>0</v>
      </c>
      <c r="Z67" s="15" t="n">
        <f aca="false">PI()*POWER((S67/200),2)</f>
        <v>0</v>
      </c>
      <c r="AA67" s="15" t="n">
        <f aca="false">PI()*POWER((T67/200),2)</f>
        <v>0</v>
      </c>
      <c r="AB67" s="15" t="n">
        <f aca="false">PI()*POWER((U67/200),2)</f>
        <v>0</v>
      </c>
    </row>
    <row r="68" customFormat="false" ht="15" hidden="false" customHeight="false" outlineLevel="0" collapsed="false">
      <c r="A68" s="2" t="s">
        <v>20</v>
      </c>
      <c r="B68" s="2" t="n">
        <v>1</v>
      </c>
      <c r="C68" s="64" t="n">
        <v>46264</v>
      </c>
      <c r="D68" s="2" t="n">
        <v>3</v>
      </c>
      <c r="E68" s="2" t="s">
        <v>140</v>
      </c>
      <c r="F68" s="2" t="s">
        <v>32</v>
      </c>
      <c r="G68" s="2" t="s">
        <v>31</v>
      </c>
      <c r="H68" s="2" t="s">
        <v>34</v>
      </c>
      <c r="I68" s="2" t="s">
        <v>25</v>
      </c>
      <c r="J68" s="2" t="n">
        <v>19</v>
      </c>
      <c r="K68" s="32" t="s">
        <v>97</v>
      </c>
      <c r="L68" s="15" t="n">
        <f aca="false">SUM(V68:AB68)</f>
        <v>0.0232352192659501</v>
      </c>
      <c r="M68" s="63" t="n">
        <f aca="false">MAX(O68:U68)</f>
        <v>17.2</v>
      </c>
      <c r="N68" s="15" t="n">
        <f aca="false">COUNTIF(M68,"&gt;9.9")</f>
        <v>1</v>
      </c>
      <c r="O68" s="2" t="n">
        <v>17.2</v>
      </c>
      <c r="V68" s="15" t="n">
        <f aca="false">PI()*POWER((O68/200),2)</f>
        <v>0.0232352192659501</v>
      </c>
      <c r="W68" s="15" t="n">
        <f aca="false">PI()*POWER((P68/200),2)</f>
        <v>0</v>
      </c>
      <c r="X68" s="15" t="n">
        <f aca="false">PI()*POWER((Q68/200),2)</f>
        <v>0</v>
      </c>
      <c r="Y68" s="15" t="n">
        <f aca="false">PI()*POWER((R68/200),2)</f>
        <v>0</v>
      </c>
      <c r="Z68" s="15" t="n">
        <f aca="false">PI()*POWER((S68/200),2)</f>
        <v>0</v>
      </c>
      <c r="AA68" s="15" t="n">
        <f aca="false">PI()*POWER((T68/200),2)</f>
        <v>0</v>
      </c>
      <c r="AB68" s="15" t="n">
        <f aca="false">PI()*POWER((U68/200),2)</f>
        <v>0</v>
      </c>
    </row>
    <row r="69" customFormat="false" ht="15" hidden="false" customHeight="false" outlineLevel="0" collapsed="false">
      <c r="A69" s="2" t="s">
        <v>20</v>
      </c>
      <c r="B69" s="2" t="n">
        <v>1</v>
      </c>
      <c r="C69" s="64" t="n">
        <v>46264</v>
      </c>
      <c r="D69" s="2" t="n">
        <v>3</v>
      </c>
      <c r="E69" s="2" t="s">
        <v>32</v>
      </c>
      <c r="F69" s="2" t="s">
        <v>140</v>
      </c>
      <c r="G69" s="2" t="s">
        <v>31</v>
      </c>
      <c r="H69" s="2" t="s">
        <v>34</v>
      </c>
      <c r="I69" s="2" t="s">
        <v>25</v>
      </c>
      <c r="J69" s="2" t="n">
        <v>13</v>
      </c>
      <c r="K69" s="32" t="s">
        <v>97</v>
      </c>
      <c r="L69" s="15" t="n">
        <f aca="false">SUM(V69:AB69)</f>
        <v>0.0404707819617071</v>
      </c>
      <c r="M69" s="63" t="n">
        <f aca="false">MAX(O69:U69)</f>
        <v>22.7</v>
      </c>
      <c r="N69" s="15" t="n">
        <f aca="false">COUNTIF(M69,"&gt;9.9")</f>
        <v>1</v>
      </c>
      <c r="O69" s="2" t="n">
        <v>22.7</v>
      </c>
      <c r="V69" s="15" t="n">
        <f aca="false">PI()*POWER((O69/200),2)</f>
        <v>0.0404707819617071</v>
      </c>
      <c r="W69" s="15" t="n">
        <f aca="false">PI()*POWER((P69/200),2)</f>
        <v>0</v>
      </c>
      <c r="X69" s="15" t="n">
        <f aca="false">PI()*POWER((Q69/200),2)</f>
        <v>0</v>
      </c>
      <c r="Y69" s="15" t="n">
        <f aca="false">PI()*POWER((R69/200),2)</f>
        <v>0</v>
      </c>
      <c r="Z69" s="15" t="n">
        <f aca="false">PI()*POWER((S69/200),2)</f>
        <v>0</v>
      </c>
      <c r="AA69" s="15" t="n">
        <f aca="false">PI()*POWER((T69/200),2)</f>
        <v>0</v>
      </c>
      <c r="AB69" s="15" t="n">
        <f aca="false">PI()*POWER((U69/200),2)</f>
        <v>0</v>
      </c>
    </row>
    <row r="70" customFormat="false" ht="15" hidden="false" customHeight="false" outlineLevel="0" collapsed="false">
      <c r="A70" s="2" t="s">
        <v>20</v>
      </c>
      <c r="B70" s="2" t="n">
        <v>1</v>
      </c>
      <c r="C70" s="64" t="n">
        <v>46264</v>
      </c>
      <c r="D70" s="2" t="n">
        <v>3</v>
      </c>
      <c r="E70" s="2" t="s">
        <v>140</v>
      </c>
      <c r="F70" s="2" t="s">
        <v>32</v>
      </c>
      <c r="G70" s="2" t="s">
        <v>31</v>
      </c>
      <c r="H70" s="2" t="s">
        <v>34</v>
      </c>
      <c r="I70" s="2" t="s">
        <v>25</v>
      </c>
      <c r="J70" s="2" t="n">
        <v>16</v>
      </c>
      <c r="K70" s="32" t="s">
        <v>97</v>
      </c>
      <c r="L70" s="15" t="n">
        <f aca="false">SUM(V70:AB70)</f>
        <v>0.040828138126053</v>
      </c>
      <c r="M70" s="63" t="n">
        <f aca="false">MAX(O70:U70)</f>
        <v>22.8</v>
      </c>
      <c r="N70" s="15" t="n">
        <f aca="false">COUNTIF(M70,"&gt;9.9")</f>
        <v>1</v>
      </c>
      <c r="O70" s="2" t="n">
        <v>22.8</v>
      </c>
      <c r="V70" s="15" t="n">
        <f aca="false">PI()*POWER((O70/200),2)</f>
        <v>0.040828138126053</v>
      </c>
      <c r="W70" s="15" t="n">
        <f aca="false">PI()*POWER((P70/200),2)</f>
        <v>0</v>
      </c>
      <c r="X70" s="15" t="n">
        <f aca="false">PI()*POWER((Q70/200),2)</f>
        <v>0</v>
      </c>
      <c r="Y70" s="15" t="n">
        <f aca="false">PI()*POWER((R70/200),2)</f>
        <v>0</v>
      </c>
      <c r="Z70" s="15" t="n">
        <f aca="false">PI()*POWER((S70/200),2)</f>
        <v>0</v>
      </c>
      <c r="AA70" s="15" t="n">
        <f aca="false">PI()*POWER((T70/200),2)</f>
        <v>0</v>
      </c>
      <c r="AB70" s="15" t="n">
        <f aca="false">PI()*POWER((U70/200),2)</f>
        <v>0</v>
      </c>
    </row>
    <row r="71" customFormat="false" ht="15" hidden="false" customHeight="false" outlineLevel="0" collapsed="false">
      <c r="A71" s="2" t="s">
        <v>20</v>
      </c>
      <c r="B71" s="2" t="n">
        <v>1</v>
      </c>
      <c r="C71" s="64" t="n">
        <v>46264</v>
      </c>
      <c r="D71" s="2" t="n">
        <v>3</v>
      </c>
      <c r="E71" s="2" t="s">
        <v>32</v>
      </c>
      <c r="F71" s="2" t="s">
        <v>140</v>
      </c>
      <c r="G71" s="2" t="s">
        <v>31</v>
      </c>
      <c r="H71" s="2" t="s">
        <v>34</v>
      </c>
      <c r="I71" s="2" t="s">
        <v>25</v>
      </c>
      <c r="J71" s="2" t="n">
        <v>7</v>
      </c>
      <c r="K71" s="32" t="s">
        <v>97</v>
      </c>
      <c r="L71" s="15" t="n">
        <f aca="false">SUM(V71:AB71)</f>
        <v>0.0426384808926841</v>
      </c>
      <c r="M71" s="63" t="n">
        <f aca="false">MAX(O71:U71)</f>
        <v>23.3</v>
      </c>
      <c r="N71" s="15" t="n">
        <f aca="false">COUNTIF(M71,"&gt;9.9")</f>
        <v>1</v>
      </c>
      <c r="O71" s="2" t="n">
        <v>23.3</v>
      </c>
      <c r="V71" s="15" t="n">
        <f aca="false">PI()*POWER((O71/200),2)</f>
        <v>0.0426384808926841</v>
      </c>
      <c r="W71" s="15" t="n">
        <f aca="false">PI()*POWER((P71/200),2)</f>
        <v>0</v>
      </c>
      <c r="X71" s="15" t="n">
        <f aca="false">PI()*POWER((Q71/200),2)</f>
        <v>0</v>
      </c>
      <c r="Y71" s="15" t="n">
        <f aca="false">PI()*POWER((R71/200),2)</f>
        <v>0</v>
      </c>
      <c r="Z71" s="15" t="n">
        <f aca="false">PI()*POWER((S71/200),2)</f>
        <v>0</v>
      </c>
      <c r="AA71" s="15" t="n">
        <f aca="false">PI()*POWER((T71/200),2)</f>
        <v>0</v>
      </c>
      <c r="AB71" s="15" t="n">
        <f aca="false">PI()*POWER((U71/200),2)</f>
        <v>0</v>
      </c>
    </row>
    <row r="72" customFormat="false" ht="15" hidden="false" customHeight="false" outlineLevel="0" collapsed="false">
      <c r="A72" s="2" t="s">
        <v>20</v>
      </c>
      <c r="B72" s="2" t="n">
        <v>1</v>
      </c>
      <c r="C72" s="64" t="n">
        <v>46264</v>
      </c>
      <c r="D72" s="2" t="n">
        <v>3</v>
      </c>
      <c r="E72" s="2" t="s">
        <v>140</v>
      </c>
      <c r="F72" s="2" t="s">
        <v>32</v>
      </c>
      <c r="G72" s="2" t="s">
        <v>31</v>
      </c>
      <c r="H72" s="2" t="s">
        <v>34</v>
      </c>
      <c r="I72" s="2" t="s">
        <v>25</v>
      </c>
      <c r="J72" s="2" t="n">
        <v>15</v>
      </c>
      <c r="K72" s="32" t="s">
        <v>97</v>
      </c>
      <c r="L72" s="15" t="n">
        <f aca="false">SUM(V72:AB72)</f>
        <v>0.0433736135736241</v>
      </c>
      <c r="M72" s="63" t="n">
        <f aca="false">MAX(O72:U72)</f>
        <v>23.5</v>
      </c>
      <c r="N72" s="15" t="n">
        <f aca="false">COUNTIF(M72,"&gt;9.9")</f>
        <v>1</v>
      </c>
      <c r="O72" s="2" t="n">
        <v>23.5</v>
      </c>
      <c r="V72" s="15" t="n">
        <f aca="false">PI()*POWER((O72/200),2)</f>
        <v>0.0433736135736241</v>
      </c>
      <c r="W72" s="15" t="n">
        <f aca="false">PI()*POWER((P72/200),2)</f>
        <v>0</v>
      </c>
      <c r="X72" s="15" t="n">
        <f aca="false">PI()*POWER((Q72/200),2)</f>
        <v>0</v>
      </c>
      <c r="Y72" s="15" t="n">
        <f aca="false">PI()*POWER((R72/200),2)</f>
        <v>0</v>
      </c>
      <c r="Z72" s="15" t="n">
        <f aca="false">PI()*POWER((S72/200),2)</f>
        <v>0</v>
      </c>
      <c r="AA72" s="15" t="n">
        <f aca="false">PI()*POWER((T72/200),2)</f>
        <v>0</v>
      </c>
      <c r="AB72" s="15" t="n">
        <f aca="false">PI()*POWER((U72/200),2)</f>
        <v>0</v>
      </c>
    </row>
    <row r="73" customFormat="false" ht="15" hidden="false" customHeight="false" outlineLevel="0" collapsed="false">
      <c r="A73" s="2" t="s">
        <v>20</v>
      </c>
      <c r="B73" s="2" t="n">
        <v>1</v>
      </c>
      <c r="C73" s="64" t="n">
        <v>46264</v>
      </c>
      <c r="D73" s="2" t="n">
        <v>3</v>
      </c>
      <c r="E73" s="2" t="s">
        <v>140</v>
      </c>
      <c r="F73" s="2" t="s">
        <v>32</v>
      </c>
      <c r="G73" s="2" t="s">
        <v>31</v>
      </c>
      <c r="H73" s="2" t="s">
        <v>34</v>
      </c>
      <c r="I73" s="2" t="s">
        <v>25</v>
      </c>
      <c r="J73" s="2" t="n">
        <v>17</v>
      </c>
      <c r="K73" s="32" t="s">
        <v>97</v>
      </c>
      <c r="L73" s="15" t="n">
        <f aca="false">SUM(V73:AB73)</f>
        <v>0.0483051286415967</v>
      </c>
      <c r="M73" s="63" t="n">
        <f aca="false">MAX(O73:U73)</f>
        <v>24.8</v>
      </c>
      <c r="N73" s="15" t="n">
        <f aca="false">COUNTIF(M73,"&gt;9.9")</f>
        <v>1</v>
      </c>
      <c r="O73" s="2" t="n">
        <v>24.8</v>
      </c>
      <c r="V73" s="15" t="n">
        <f aca="false">PI()*POWER((O73/200),2)</f>
        <v>0.0483051286415967</v>
      </c>
      <c r="W73" s="15" t="n">
        <f aca="false">PI()*POWER((P73/200),2)</f>
        <v>0</v>
      </c>
      <c r="X73" s="15" t="n">
        <f aca="false">PI()*POWER((Q73/200),2)</f>
        <v>0</v>
      </c>
      <c r="Y73" s="15" t="n">
        <f aca="false">PI()*POWER((R73/200),2)</f>
        <v>0</v>
      </c>
      <c r="Z73" s="15" t="n">
        <f aca="false">PI()*POWER((S73/200),2)</f>
        <v>0</v>
      </c>
      <c r="AA73" s="15" t="n">
        <f aca="false">PI()*POWER((T73/200),2)</f>
        <v>0</v>
      </c>
      <c r="AB73" s="15" t="n">
        <f aca="false">PI()*POWER((U73/200),2)</f>
        <v>0</v>
      </c>
    </row>
    <row r="74" customFormat="false" ht="15" hidden="false" customHeight="false" outlineLevel="0" collapsed="false">
      <c r="A74" s="2" t="s">
        <v>20</v>
      </c>
      <c r="B74" s="2" t="n">
        <v>1</v>
      </c>
      <c r="C74" s="64" t="n">
        <v>46264</v>
      </c>
      <c r="D74" s="2" t="n">
        <v>3</v>
      </c>
      <c r="E74" s="2" t="s">
        <v>32</v>
      </c>
      <c r="F74" s="2" t="s">
        <v>140</v>
      </c>
      <c r="G74" s="2" t="s">
        <v>31</v>
      </c>
      <c r="H74" s="2" t="s">
        <v>34</v>
      </c>
      <c r="I74" s="2" t="s">
        <v>25</v>
      </c>
      <c r="J74" s="2" t="n">
        <v>4</v>
      </c>
      <c r="K74" s="32" t="s">
        <v>97</v>
      </c>
      <c r="L74" s="15" t="n">
        <f aca="false">SUM(V74:AB74)</f>
        <v>0.0490873852123405</v>
      </c>
      <c r="M74" s="63" t="n">
        <f aca="false">MAX(O74:U74)</f>
        <v>25</v>
      </c>
      <c r="N74" s="15" t="n">
        <f aca="false">COUNTIF(M74,"&gt;9.9")</f>
        <v>1</v>
      </c>
      <c r="O74" s="2" t="n">
        <v>25</v>
      </c>
      <c r="V74" s="15" t="n">
        <f aca="false">PI()*POWER((O74/200),2)</f>
        <v>0.0490873852123405</v>
      </c>
      <c r="W74" s="15" t="n">
        <f aca="false">PI()*POWER((P74/200),2)</f>
        <v>0</v>
      </c>
      <c r="X74" s="15" t="n">
        <f aca="false">PI()*POWER((Q74/200),2)</f>
        <v>0</v>
      </c>
      <c r="Y74" s="15" t="n">
        <f aca="false">PI()*POWER((R74/200),2)</f>
        <v>0</v>
      </c>
      <c r="Z74" s="15" t="n">
        <f aca="false">PI()*POWER((S74/200),2)</f>
        <v>0</v>
      </c>
      <c r="AA74" s="15" t="n">
        <f aca="false">PI()*POWER((T74/200),2)</f>
        <v>0</v>
      </c>
      <c r="AB74" s="15" t="n">
        <f aca="false">PI()*POWER((U74/200),2)</f>
        <v>0</v>
      </c>
    </row>
    <row r="75" customFormat="false" ht="15" hidden="false" customHeight="false" outlineLevel="0" collapsed="false">
      <c r="A75" s="2" t="s">
        <v>20</v>
      </c>
      <c r="B75" s="2" t="n">
        <v>1</v>
      </c>
      <c r="C75" s="64" t="n">
        <v>46264</v>
      </c>
      <c r="D75" s="2" t="n">
        <v>3</v>
      </c>
      <c r="E75" s="2" t="s">
        <v>32</v>
      </c>
      <c r="F75" s="2" t="s">
        <v>140</v>
      </c>
      <c r="G75" s="2" t="s">
        <v>31</v>
      </c>
      <c r="H75" s="2" t="s">
        <v>34</v>
      </c>
      <c r="I75" s="2" t="s">
        <v>25</v>
      </c>
      <c r="J75" s="2" t="n">
        <v>5</v>
      </c>
      <c r="K75" s="32" t="s">
        <v>97</v>
      </c>
      <c r="L75" s="15" t="n">
        <f aca="false">SUM(V75:AB75)</f>
        <v>0.0510705155749191</v>
      </c>
      <c r="M75" s="63" t="n">
        <f aca="false">MAX(O75:U75)</f>
        <v>25.5</v>
      </c>
      <c r="N75" s="15" t="n">
        <f aca="false">COUNTIF(M75,"&gt;9.9")</f>
        <v>1</v>
      </c>
      <c r="O75" s="2" t="n">
        <v>25.5</v>
      </c>
      <c r="V75" s="15" t="n">
        <f aca="false">PI()*POWER((O75/200),2)</f>
        <v>0.0510705155749191</v>
      </c>
      <c r="W75" s="15" t="n">
        <f aca="false">PI()*POWER((P75/200),2)</f>
        <v>0</v>
      </c>
      <c r="X75" s="15" t="n">
        <f aca="false">PI()*POWER((Q75/200),2)</f>
        <v>0</v>
      </c>
      <c r="Y75" s="15" t="n">
        <f aca="false">PI()*POWER((R75/200),2)</f>
        <v>0</v>
      </c>
      <c r="Z75" s="15" t="n">
        <f aca="false">PI()*POWER((S75/200),2)</f>
        <v>0</v>
      </c>
      <c r="AA75" s="15" t="n">
        <f aca="false">PI()*POWER((T75/200),2)</f>
        <v>0</v>
      </c>
      <c r="AB75" s="15" t="n">
        <f aca="false">PI()*POWER((U75/200),2)</f>
        <v>0</v>
      </c>
    </row>
    <row r="76" customFormat="false" ht="15" hidden="false" customHeight="false" outlineLevel="0" collapsed="false">
      <c r="A76" s="2" t="s">
        <v>20</v>
      </c>
      <c r="B76" s="2" t="n">
        <v>1</v>
      </c>
      <c r="C76" s="64" t="n">
        <v>46264</v>
      </c>
      <c r="D76" s="2" t="n">
        <v>3</v>
      </c>
      <c r="E76" s="2" t="s">
        <v>32</v>
      </c>
      <c r="F76" s="2" t="s">
        <v>140</v>
      </c>
      <c r="G76" s="2" t="s">
        <v>31</v>
      </c>
      <c r="H76" s="2" t="s">
        <v>34</v>
      </c>
      <c r="I76" s="2" t="s">
        <v>25</v>
      </c>
      <c r="J76" s="2" t="n">
        <v>6</v>
      </c>
      <c r="K76" s="32" t="s">
        <v>97</v>
      </c>
      <c r="L76" s="15" t="n">
        <f aca="false">SUM(V76:AB76)</f>
        <v>0.057255526111674</v>
      </c>
      <c r="M76" s="63" t="n">
        <f aca="false">MAX(O76:U76)</f>
        <v>27</v>
      </c>
      <c r="N76" s="15" t="n">
        <f aca="false">COUNTIF(M76,"&gt;9.9")</f>
        <v>1</v>
      </c>
      <c r="O76" s="2" t="n">
        <v>27</v>
      </c>
      <c r="V76" s="15" t="n">
        <f aca="false">PI()*POWER((O76/200),2)</f>
        <v>0.057255526111674</v>
      </c>
      <c r="W76" s="15" t="n">
        <f aca="false">PI()*POWER((P76/200),2)</f>
        <v>0</v>
      </c>
      <c r="X76" s="15" t="n">
        <f aca="false">PI()*POWER((Q76/200),2)</f>
        <v>0</v>
      </c>
      <c r="Y76" s="15" t="n">
        <f aca="false">PI()*POWER((R76/200),2)</f>
        <v>0</v>
      </c>
      <c r="Z76" s="15" t="n">
        <f aca="false">PI()*POWER((S76/200),2)</f>
        <v>0</v>
      </c>
      <c r="AA76" s="15" t="n">
        <f aca="false">PI()*POWER((T76/200),2)</f>
        <v>0</v>
      </c>
      <c r="AB76" s="15" t="n">
        <f aca="false">PI()*POWER((U76/200),2)</f>
        <v>0</v>
      </c>
    </row>
    <row r="77" customFormat="false" ht="15" hidden="false" customHeight="false" outlineLevel="0" collapsed="false">
      <c r="A77" s="2" t="s">
        <v>20</v>
      </c>
      <c r="B77" s="2" t="n">
        <v>1</v>
      </c>
      <c r="C77" s="64" t="n">
        <v>46264</v>
      </c>
      <c r="D77" s="2" t="n">
        <v>3</v>
      </c>
      <c r="E77" s="2" t="s">
        <v>32</v>
      </c>
      <c r="F77" s="2" t="s">
        <v>140</v>
      </c>
      <c r="G77" s="2" t="s">
        <v>31</v>
      </c>
      <c r="H77" s="2" t="s">
        <v>34</v>
      </c>
      <c r="I77" s="2" t="s">
        <v>25</v>
      </c>
      <c r="J77" s="2" t="n">
        <v>3</v>
      </c>
      <c r="K77" s="32" t="s">
        <v>97</v>
      </c>
      <c r="L77" s="15" t="n">
        <f aca="false">SUM(V77:AB77)</f>
        <v>0.0585349397198484</v>
      </c>
      <c r="M77" s="63" t="n">
        <f aca="false">MAX(O77:U77)</f>
        <v>27.3</v>
      </c>
      <c r="N77" s="15" t="n">
        <f aca="false">COUNTIF(M77,"&gt;9.9")</f>
        <v>1</v>
      </c>
      <c r="O77" s="2" t="n">
        <v>27.3</v>
      </c>
      <c r="V77" s="15" t="n">
        <f aca="false">PI()*POWER((O77/200),2)</f>
        <v>0.0585349397198484</v>
      </c>
      <c r="W77" s="15" t="n">
        <f aca="false">PI()*POWER((P77/200),2)</f>
        <v>0</v>
      </c>
      <c r="X77" s="15" t="n">
        <f aca="false">PI()*POWER((Q77/200),2)</f>
        <v>0</v>
      </c>
      <c r="Y77" s="15" t="n">
        <f aca="false">PI()*POWER((R77/200),2)</f>
        <v>0</v>
      </c>
      <c r="Z77" s="15" t="n">
        <f aca="false">PI()*POWER((S77/200),2)</f>
        <v>0</v>
      </c>
      <c r="AA77" s="15" t="n">
        <f aca="false">PI()*POWER((T77/200),2)</f>
        <v>0</v>
      </c>
      <c r="AB77" s="15" t="n">
        <f aca="false">PI()*POWER((U77/200),2)</f>
        <v>0</v>
      </c>
    </row>
    <row r="78" customFormat="false" ht="15" hidden="false" customHeight="false" outlineLevel="0" collapsed="false">
      <c r="A78" s="2" t="s">
        <v>20</v>
      </c>
      <c r="B78" s="2" t="n">
        <v>1</v>
      </c>
      <c r="C78" s="64" t="n">
        <v>46264</v>
      </c>
      <c r="D78" s="2" t="n">
        <v>3</v>
      </c>
      <c r="E78" s="2" t="s">
        <v>140</v>
      </c>
      <c r="F78" s="2" t="s">
        <v>32</v>
      </c>
      <c r="G78" s="2" t="s">
        <v>31</v>
      </c>
      <c r="H78" s="2" t="s">
        <v>34</v>
      </c>
      <c r="I78" s="2" t="s">
        <v>25</v>
      </c>
      <c r="J78" s="2" t="n">
        <v>22</v>
      </c>
      <c r="K78" s="32" t="s">
        <v>97</v>
      </c>
      <c r="L78" s="15" t="n">
        <f aca="false">SUM(V78:AB78)</f>
        <v>0.0585349397198484</v>
      </c>
      <c r="M78" s="63" t="n">
        <f aca="false">MAX(O78:U78)</f>
        <v>27.3</v>
      </c>
      <c r="N78" s="15" t="n">
        <f aca="false">COUNTIF(M78,"&gt;9.9")</f>
        <v>1</v>
      </c>
      <c r="O78" s="2" t="n">
        <v>27.3</v>
      </c>
      <c r="V78" s="15" t="n">
        <f aca="false">PI()*POWER((O78/200),2)</f>
        <v>0.0585349397198484</v>
      </c>
      <c r="W78" s="15" t="n">
        <f aca="false">PI()*POWER((P78/200),2)</f>
        <v>0</v>
      </c>
      <c r="X78" s="15" t="n">
        <f aca="false">PI()*POWER((Q78/200),2)</f>
        <v>0</v>
      </c>
      <c r="Y78" s="15" t="n">
        <f aca="false">PI()*POWER((R78/200),2)</f>
        <v>0</v>
      </c>
      <c r="Z78" s="15" t="n">
        <f aca="false">PI()*POWER((S78/200),2)</f>
        <v>0</v>
      </c>
      <c r="AA78" s="15" t="n">
        <f aca="false">PI()*POWER((T78/200),2)</f>
        <v>0</v>
      </c>
      <c r="AB78" s="15" t="n">
        <f aca="false">PI()*POWER((U78/200),2)</f>
        <v>0</v>
      </c>
    </row>
    <row r="79" customFormat="false" ht="15" hidden="false" customHeight="false" outlineLevel="0" collapsed="false">
      <c r="A79" s="2" t="s">
        <v>20</v>
      </c>
      <c r="B79" s="2" t="n">
        <v>1</v>
      </c>
      <c r="C79" s="64" t="n">
        <v>46264</v>
      </c>
      <c r="D79" s="2" t="n">
        <v>3</v>
      </c>
      <c r="E79" s="2" t="s">
        <v>140</v>
      </c>
      <c r="F79" s="2" t="s">
        <v>32</v>
      </c>
      <c r="G79" s="2" t="s">
        <v>31</v>
      </c>
      <c r="H79" s="2" t="s">
        <v>34</v>
      </c>
      <c r="I79" s="2" t="s">
        <v>25</v>
      </c>
      <c r="J79" s="2" t="n">
        <v>20</v>
      </c>
      <c r="K79" s="32" t="s">
        <v>97</v>
      </c>
      <c r="L79" s="15" t="n">
        <f aca="false">SUM(V79:AB79)</f>
        <v>0.06157521601036</v>
      </c>
      <c r="M79" s="63" t="n">
        <f aca="false">MAX(O79:U79)</f>
        <v>28</v>
      </c>
      <c r="N79" s="15" t="n">
        <f aca="false">COUNTIF(M79,"&gt;9.9")</f>
        <v>1</v>
      </c>
      <c r="O79" s="2" t="n">
        <v>28</v>
      </c>
      <c r="V79" s="15" t="n">
        <f aca="false">PI()*POWER((O79/200),2)</f>
        <v>0.06157521601036</v>
      </c>
      <c r="W79" s="15" t="n">
        <f aca="false">PI()*POWER((P79/200),2)</f>
        <v>0</v>
      </c>
      <c r="X79" s="15" t="n">
        <f aca="false">PI()*POWER((Q79/200),2)</f>
        <v>0</v>
      </c>
      <c r="Y79" s="15" t="n">
        <f aca="false">PI()*POWER((R79/200),2)</f>
        <v>0</v>
      </c>
      <c r="Z79" s="15" t="n">
        <f aca="false">PI()*POWER((S79/200),2)</f>
        <v>0</v>
      </c>
      <c r="AA79" s="15" t="n">
        <f aca="false">PI()*POWER((T79/200),2)</f>
        <v>0</v>
      </c>
      <c r="AB79" s="15" t="n">
        <f aca="false">PI()*POWER((U79/200),2)</f>
        <v>0</v>
      </c>
    </row>
    <row r="80" customFormat="false" ht="15" hidden="false" customHeight="false" outlineLevel="0" collapsed="false">
      <c r="A80" s="2" t="s">
        <v>20</v>
      </c>
      <c r="B80" s="2" t="n">
        <v>1</v>
      </c>
      <c r="C80" s="64" t="n">
        <v>46264</v>
      </c>
      <c r="D80" s="2" t="n">
        <v>3</v>
      </c>
      <c r="E80" s="2" t="s">
        <v>32</v>
      </c>
      <c r="F80" s="2" t="s">
        <v>140</v>
      </c>
      <c r="G80" s="2" t="s">
        <v>31</v>
      </c>
      <c r="H80" s="2" t="s">
        <v>34</v>
      </c>
      <c r="I80" s="2" t="s">
        <v>25</v>
      </c>
      <c r="J80" s="2" t="n">
        <v>10</v>
      </c>
      <c r="K80" s="32" t="s">
        <v>97</v>
      </c>
      <c r="L80" s="15" t="n">
        <f aca="false">SUM(V80:AB80)</f>
        <v>0.0620158243800259</v>
      </c>
      <c r="M80" s="63" t="n">
        <f aca="false">MAX(O80:U80)</f>
        <v>28.1</v>
      </c>
      <c r="N80" s="15" t="n">
        <f aca="false">COUNTIF(M80,"&gt;9.9")</f>
        <v>1</v>
      </c>
      <c r="O80" s="2" t="n">
        <v>28.1</v>
      </c>
      <c r="V80" s="15" t="n">
        <f aca="false">PI()*POWER((O80/200),2)</f>
        <v>0.0620158243800259</v>
      </c>
      <c r="W80" s="15" t="n">
        <f aca="false">PI()*POWER((P80/200),2)</f>
        <v>0</v>
      </c>
      <c r="X80" s="15" t="n">
        <f aca="false">PI()*POWER((Q80/200),2)</f>
        <v>0</v>
      </c>
      <c r="Y80" s="15" t="n">
        <f aca="false">PI()*POWER((R80/200),2)</f>
        <v>0</v>
      </c>
      <c r="Z80" s="15" t="n">
        <f aca="false">PI()*POWER((S80/200),2)</f>
        <v>0</v>
      </c>
      <c r="AA80" s="15" t="n">
        <f aca="false">PI()*POWER((T80/200),2)</f>
        <v>0</v>
      </c>
      <c r="AB80" s="15" t="n">
        <f aca="false">PI()*POWER((U80/200),2)</f>
        <v>0</v>
      </c>
    </row>
    <row r="81" customFormat="false" ht="15" hidden="false" customHeight="false" outlineLevel="0" collapsed="false">
      <c r="A81" s="2" t="s">
        <v>20</v>
      </c>
      <c r="B81" s="2" t="n">
        <v>1</v>
      </c>
      <c r="C81" s="64" t="n">
        <v>46264</v>
      </c>
      <c r="D81" s="2" t="n">
        <v>3</v>
      </c>
      <c r="E81" s="2" t="s">
        <v>140</v>
      </c>
      <c r="F81" s="2" t="s">
        <v>32</v>
      </c>
      <c r="G81" s="2" t="s">
        <v>31</v>
      </c>
      <c r="H81" s="2" t="s">
        <v>34</v>
      </c>
      <c r="I81" s="2" t="s">
        <v>25</v>
      </c>
      <c r="J81" s="2" t="n">
        <v>14</v>
      </c>
      <c r="K81" s="32" t="s">
        <v>97</v>
      </c>
      <c r="L81" s="15" t="n">
        <f aca="false">SUM(V81:AB81)</f>
        <v>0.0642424281732577</v>
      </c>
      <c r="M81" s="63" t="n">
        <f aca="false">MAX(O81:U81)</f>
        <v>28.6</v>
      </c>
      <c r="N81" s="15" t="n">
        <f aca="false">COUNTIF(M81,"&gt;9.9")</f>
        <v>1</v>
      </c>
      <c r="O81" s="2" t="n">
        <v>28.6</v>
      </c>
      <c r="V81" s="15" t="n">
        <f aca="false">PI()*POWER((O81/200),2)</f>
        <v>0.0642424281732577</v>
      </c>
      <c r="W81" s="15" t="n">
        <f aca="false">PI()*POWER((P81/200),2)</f>
        <v>0</v>
      </c>
      <c r="X81" s="15" t="n">
        <f aca="false">PI()*POWER((Q81/200),2)</f>
        <v>0</v>
      </c>
      <c r="Y81" s="15" t="n">
        <f aca="false">PI()*POWER((R81/200),2)</f>
        <v>0</v>
      </c>
      <c r="Z81" s="15" t="n">
        <f aca="false">PI()*POWER((S81/200),2)</f>
        <v>0</v>
      </c>
      <c r="AA81" s="15" t="n">
        <f aca="false">PI()*POWER((T81/200),2)</f>
        <v>0</v>
      </c>
      <c r="AB81" s="15" t="n">
        <f aca="false">PI()*POWER((U81/200),2)</f>
        <v>0</v>
      </c>
    </row>
    <row r="82" customFormat="false" ht="15" hidden="false" customHeight="false" outlineLevel="0" collapsed="false">
      <c r="A82" s="2" t="s">
        <v>20</v>
      </c>
      <c r="B82" s="2" t="n">
        <v>1</v>
      </c>
      <c r="C82" s="64" t="n">
        <v>46264</v>
      </c>
      <c r="D82" s="2" t="n">
        <v>3</v>
      </c>
      <c r="E82" s="2" t="s">
        <v>32</v>
      </c>
      <c r="F82" s="2" t="s">
        <v>140</v>
      </c>
      <c r="G82" s="2" t="s">
        <v>31</v>
      </c>
      <c r="H82" s="2" t="s">
        <v>34</v>
      </c>
      <c r="I82" s="2" t="s">
        <v>25</v>
      </c>
      <c r="J82" s="2" t="n">
        <v>8</v>
      </c>
      <c r="K82" s="32" t="s">
        <v>97</v>
      </c>
      <c r="L82" s="15" t="n">
        <f aca="false">SUM(V82:AB82)</f>
        <v>0.0706858347057704</v>
      </c>
      <c r="M82" s="63" t="n">
        <f aca="false">MAX(O82:U82)</f>
        <v>30</v>
      </c>
      <c r="N82" s="15" t="n">
        <f aca="false">COUNTIF(M82,"&gt;9.9")</f>
        <v>1</v>
      </c>
      <c r="O82" s="2" t="n">
        <v>30</v>
      </c>
      <c r="V82" s="15" t="n">
        <f aca="false">PI()*POWER((O82/200),2)</f>
        <v>0.0706858347057704</v>
      </c>
      <c r="W82" s="15" t="n">
        <f aca="false">PI()*POWER((P82/200),2)</f>
        <v>0</v>
      </c>
      <c r="X82" s="15" t="n">
        <f aca="false">PI()*POWER((Q82/200),2)</f>
        <v>0</v>
      </c>
      <c r="Y82" s="15" t="n">
        <f aca="false">PI()*POWER((R82/200),2)</f>
        <v>0</v>
      </c>
      <c r="Z82" s="15" t="n">
        <f aca="false">PI()*POWER((S82/200),2)</f>
        <v>0</v>
      </c>
      <c r="AA82" s="15" t="n">
        <f aca="false">PI()*POWER((T82/200),2)</f>
        <v>0</v>
      </c>
      <c r="AB82" s="15" t="n">
        <f aca="false">PI()*POWER((U82/200),2)</f>
        <v>0</v>
      </c>
    </row>
    <row r="83" customFormat="false" ht="15" hidden="false" customHeight="false" outlineLevel="0" collapsed="false">
      <c r="A83" s="2" t="s">
        <v>20</v>
      </c>
      <c r="B83" s="2" t="n">
        <v>1</v>
      </c>
      <c r="C83" s="64" t="n">
        <v>46264</v>
      </c>
      <c r="D83" s="2" t="n">
        <v>3</v>
      </c>
      <c r="E83" s="2" t="s">
        <v>140</v>
      </c>
      <c r="F83" s="2" t="s">
        <v>32</v>
      </c>
      <c r="G83" s="2" t="s">
        <v>31</v>
      </c>
      <c r="H83" s="2" t="s">
        <v>34</v>
      </c>
      <c r="I83" s="2" t="s">
        <v>25</v>
      </c>
      <c r="J83" s="2" t="n">
        <v>23</v>
      </c>
      <c r="K83" s="32" t="s">
        <v>97</v>
      </c>
      <c r="L83" s="15" t="n">
        <f aca="false">SUM(V83:AB83)</f>
        <v>0.109271661075324</v>
      </c>
      <c r="M83" s="63" t="n">
        <f aca="false">MAX(O83:U83)</f>
        <v>37.3</v>
      </c>
      <c r="N83" s="15" t="n">
        <f aca="false">COUNTIF(M83,"&gt;9.9")</f>
        <v>1</v>
      </c>
      <c r="O83" s="2" t="n">
        <v>37.3</v>
      </c>
      <c r="V83" s="15" t="n">
        <f aca="false">PI()*POWER((O83/200),2)</f>
        <v>0.109271661075324</v>
      </c>
      <c r="W83" s="15" t="n">
        <f aca="false">PI()*POWER((P83/200),2)</f>
        <v>0</v>
      </c>
      <c r="X83" s="15" t="n">
        <f aca="false">PI()*POWER((Q83/200),2)</f>
        <v>0</v>
      </c>
      <c r="Y83" s="15" t="n">
        <f aca="false">PI()*POWER((R83/200),2)</f>
        <v>0</v>
      </c>
      <c r="Z83" s="15" t="n">
        <f aca="false">PI()*POWER((S83/200),2)</f>
        <v>0</v>
      </c>
      <c r="AA83" s="15" t="n">
        <f aca="false">PI()*POWER((T83/200),2)</f>
        <v>0</v>
      </c>
      <c r="AB83" s="15" t="n">
        <f aca="false">PI()*POWER((U83/200),2)</f>
        <v>0</v>
      </c>
    </row>
    <row r="84" customFormat="false" ht="15" hidden="false" customHeight="false" outlineLevel="0" collapsed="false">
      <c r="A84" s="2" t="s">
        <v>20</v>
      </c>
      <c r="B84" s="2" t="n">
        <v>1</v>
      </c>
      <c r="C84" s="64" t="n">
        <v>46264</v>
      </c>
      <c r="D84" s="2" t="n">
        <v>3</v>
      </c>
      <c r="E84" s="2" t="s">
        <v>140</v>
      </c>
      <c r="F84" s="2" t="s">
        <v>32</v>
      </c>
      <c r="G84" s="2" t="s">
        <v>31</v>
      </c>
      <c r="H84" s="2" t="s">
        <v>34</v>
      </c>
      <c r="I84" s="2" t="s">
        <v>25</v>
      </c>
      <c r="J84" s="2" t="n">
        <v>25</v>
      </c>
      <c r="K84" s="32" t="s">
        <v>97</v>
      </c>
      <c r="L84" s="15" t="n">
        <f aca="false">SUM(V84:AB84)</f>
        <v>0.117628297533872</v>
      </c>
      <c r="M84" s="63" t="n">
        <f aca="false">MAX(O84:U84)</f>
        <v>38.7</v>
      </c>
      <c r="N84" s="15" t="n">
        <f aca="false">COUNTIF(M84,"&gt;9.9")</f>
        <v>1</v>
      </c>
      <c r="O84" s="2" t="n">
        <v>38.7</v>
      </c>
      <c r="V84" s="15" t="n">
        <f aca="false">PI()*POWER((O84/200),2)</f>
        <v>0.117628297533872</v>
      </c>
      <c r="W84" s="15" t="n">
        <f aca="false">PI()*POWER((P84/200),2)</f>
        <v>0</v>
      </c>
      <c r="X84" s="15" t="n">
        <f aca="false">PI()*POWER((Q84/200),2)</f>
        <v>0</v>
      </c>
      <c r="Y84" s="15" t="n">
        <f aca="false">PI()*POWER((R84/200),2)</f>
        <v>0</v>
      </c>
      <c r="Z84" s="15" t="n">
        <f aca="false">PI()*POWER((S84/200),2)</f>
        <v>0</v>
      </c>
      <c r="AA84" s="15" t="n">
        <f aca="false">PI()*POWER((T84/200),2)</f>
        <v>0</v>
      </c>
      <c r="AB84" s="15" t="n">
        <f aca="false">PI()*POWER((U84/200),2)</f>
        <v>0</v>
      </c>
    </row>
    <row r="85" customFormat="false" ht="15" hidden="false" customHeight="false" outlineLevel="0" collapsed="false">
      <c r="A85" s="2" t="s">
        <v>20</v>
      </c>
      <c r="B85" s="2" t="n">
        <v>1</v>
      </c>
      <c r="C85" s="64" t="n">
        <v>46264</v>
      </c>
      <c r="D85" s="2" t="n">
        <v>3</v>
      </c>
      <c r="E85" s="2" t="s">
        <v>32</v>
      </c>
      <c r="F85" s="2" t="s">
        <v>140</v>
      </c>
      <c r="G85" s="2" t="s">
        <v>31</v>
      </c>
      <c r="H85" s="2" t="s">
        <v>34</v>
      </c>
      <c r="I85" s="2" t="s">
        <v>25</v>
      </c>
      <c r="J85" s="2" t="n">
        <v>2</v>
      </c>
      <c r="K85" s="32" t="s">
        <v>97</v>
      </c>
      <c r="L85" s="15" t="n">
        <f aca="false">SUM(V85:AB85)</f>
        <v>0.121922069293166</v>
      </c>
      <c r="M85" s="63" t="n">
        <f aca="false">MAX(O85:U85)</f>
        <v>39.4</v>
      </c>
      <c r="N85" s="15" t="n">
        <f aca="false">COUNTIF(M85,"&gt;9.9")</f>
        <v>1</v>
      </c>
      <c r="O85" s="2" t="n">
        <v>39.4</v>
      </c>
      <c r="V85" s="15" t="n">
        <f aca="false">PI()*POWER((O85/200),2)</f>
        <v>0.121922069293166</v>
      </c>
      <c r="W85" s="15" t="n">
        <f aca="false">PI()*POWER((P85/200),2)</f>
        <v>0</v>
      </c>
      <c r="X85" s="15" t="n">
        <f aca="false">PI()*POWER((Q85/200),2)</f>
        <v>0</v>
      </c>
      <c r="Y85" s="15" t="n">
        <f aca="false">PI()*POWER((R85/200),2)</f>
        <v>0</v>
      </c>
      <c r="Z85" s="15" t="n">
        <f aca="false">PI()*POWER((S85/200),2)</f>
        <v>0</v>
      </c>
      <c r="AA85" s="15" t="n">
        <f aca="false">PI()*POWER((T85/200),2)</f>
        <v>0</v>
      </c>
      <c r="AB85" s="15" t="n">
        <f aca="false">PI()*POWER((U85/200),2)</f>
        <v>0</v>
      </c>
    </row>
    <row r="86" customFormat="false" ht="15" hidden="false" customHeight="false" outlineLevel="0" collapsed="false">
      <c r="A86" s="2" t="s">
        <v>20</v>
      </c>
      <c r="B86" s="2" t="n">
        <v>1</v>
      </c>
      <c r="C86" s="64" t="n">
        <v>46264</v>
      </c>
      <c r="D86" s="2" t="n">
        <v>3</v>
      </c>
      <c r="E86" s="2" t="s">
        <v>140</v>
      </c>
      <c r="F86" s="2" t="s">
        <v>32</v>
      </c>
      <c r="G86" s="2" t="s">
        <v>31</v>
      </c>
      <c r="H86" s="2" t="s">
        <v>34</v>
      </c>
      <c r="I86" s="2" t="s">
        <v>25</v>
      </c>
      <c r="J86" s="2" t="n">
        <v>18</v>
      </c>
      <c r="K86" s="32" t="s">
        <v>97</v>
      </c>
      <c r="L86" s="15" t="n">
        <f aca="false">SUM(V86:AB86)</f>
        <v>0.134614103613669</v>
      </c>
      <c r="M86" s="63" t="n">
        <f aca="false">MAX(O86:U86)</f>
        <v>41.4</v>
      </c>
      <c r="N86" s="15" t="n">
        <f aca="false">COUNTIF(M86,"&gt;9.9")</f>
        <v>1</v>
      </c>
      <c r="O86" s="2" t="n">
        <v>41.4</v>
      </c>
      <c r="V86" s="15" t="n">
        <f aca="false">PI()*POWER((O86/200),2)</f>
        <v>0.134614103613669</v>
      </c>
      <c r="W86" s="15" t="n">
        <f aca="false">PI()*POWER((P86/200),2)</f>
        <v>0</v>
      </c>
      <c r="X86" s="15" t="n">
        <f aca="false">PI()*POWER((Q86/200),2)</f>
        <v>0</v>
      </c>
      <c r="Y86" s="15" t="n">
        <f aca="false">PI()*POWER((R86/200),2)</f>
        <v>0</v>
      </c>
      <c r="Z86" s="15" t="n">
        <f aca="false">PI()*POWER((S86/200),2)</f>
        <v>0</v>
      </c>
      <c r="AA86" s="15" t="n">
        <f aca="false">PI()*POWER((T86/200),2)</f>
        <v>0</v>
      </c>
      <c r="AB86" s="15" t="n">
        <f aca="false">PI()*POWER((U86/200),2)</f>
        <v>0</v>
      </c>
    </row>
    <row r="87" customFormat="false" ht="15" hidden="false" customHeight="false" outlineLevel="0" collapsed="false">
      <c r="A87" s="2" t="s">
        <v>20</v>
      </c>
      <c r="B87" s="2" t="n">
        <v>1</v>
      </c>
      <c r="C87" s="64" t="n">
        <v>46264</v>
      </c>
      <c r="D87" s="2" t="n">
        <v>3</v>
      </c>
      <c r="E87" s="2" t="s">
        <v>140</v>
      </c>
      <c r="F87" s="2" t="s">
        <v>32</v>
      </c>
      <c r="G87" s="2" t="s">
        <v>31</v>
      </c>
      <c r="H87" s="2" t="s">
        <v>34</v>
      </c>
      <c r="I87" s="2" t="s">
        <v>25</v>
      </c>
      <c r="J87" s="2" t="n">
        <v>24</v>
      </c>
      <c r="K87" s="32" t="s">
        <v>97</v>
      </c>
      <c r="L87" s="15" t="n">
        <f aca="false">SUM(V87:AB87)</f>
        <v>0.298024045490142</v>
      </c>
      <c r="M87" s="63" t="n">
        <f aca="false">MAX(O87:U87)</f>
        <v>61.6</v>
      </c>
      <c r="N87" s="15" t="n">
        <f aca="false">COUNTIF(M87,"&gt;9.9")</f>
        <v>1</v>
      </c>
      <c r="O87" s="2" t="n">
        <v>61.6</v>
      </c>
      <c r="V87" s="15" t="n">
        <f aca="false">PI()*POWER((O87/200),2)</f>
        <v>0.298024045490142</v>
      </c>
      <c r="W87" s="15" t="n">
        <f aca="false">PI()*POWER((P87/200),2)</f>
        <v>0</v>
      </c>
      <c r="X87" s="15" t="n">
        <f aca="false">PI()*POWER((Q87/200),2)</f>
        <v>0</v>
      </c>
      <c r="Y87" s="15" t="n">
        <f aca="false">PI()*POWER((R87/200),2)</f>
        <v>0</v>
      </c>
      <c r="Z87" s="15" t="n">
        <f aca="false">PI()*POWER((S87/200),2)</f>
        <v>0</v>
      </c>
      <c r="AA87" s="15" t="n">
        <f aca="false">PI()*POWER((T87/200),2)</f>
        <v>0</v>
      </c>
      <c r="AB87" s="15" t="n">
        <f aca="false">PI()*POWER((U87/200),2)</f>
        <v>0</v>
      </c>
    </row>
    <row r="88" customFormat="false" ht="15" hidden="false" customHeight="false" outlineLevel="0" collapsed="false">
      <c r="A88" s="2" t="s">
        <v>20</v>
      </c>
      <c r="B88" s="2" t="n">
        <v>1</v>
      </c>
      <c r="C88" s="9" t="n">
        <v>46264</v>
      </c>
      <c r="D88" s="2" t="n">
        <v>4</v>
      </c>
      <c r="E88" s="2" t="s">
        <v>35</v>
      </c>
      <c r="F88" s="2" t="s">
        <v>36</v>
      </c>
      <c r="G88" s="2" t="s">
        <v>37</v>
      </c>
      <c r="H88" s="2" t="s">
        <v>38</v>
      </c>
      <c r="I88" s="2" t="s">
        <v>39</v>
      </c>
      <c r="J88" s="2" t="n">
        <v>22</v>
      </c>
      <c r="K88" s="32" t="s">
        <v>97</v>
      </c>
      <c r="L88" s="15" t="n">
        <f aca="false">SUM(V88:AB88)</f>
        <v>7.85398163397448E-005</v>
      </c>
      <c r="M88" s="15" t="n">
        <f aca="false">MAX(O88:U88)</f>
        <v>1</v>
      </c>
      <c r="N88" s="15" t="n">
        <f aca="false">COUNTIF(M88,"&gt;9.9")</f>
        <v>0</v>
      </c>
      <c r="O88" s="2" t="n">
        <v>1</v>
      </c>
      <c r="V88" s="15" t="n">
        <f aca="false">PI()*POWER((O88/200),2)</f>
        <v>7.85398163397448E-005</v>
      </c>
      <c r="W88" s="15" t="n">
        <f aca="false">PI()*POWER((P88/200),2)</f>
        <v>0</v>
      </c>
      <c r="X88" s="15" t="n">
        <f aca="false">PI()*POWER((Q88/200),2)</f>
        <v>0</v>
      </c>
      <c r="Y88" s="15" t="n">
        <f aca="false">PI()*POWER((R88/200),2)</f>
        <v>0</v>
      </c>
      <c r="Z88" s="15" t="n">
        <f aca="false">PI()*POWER((S88/200),2)</f>
        <v>0</v>
      </c>
      <c r="AA88" s="15" t="n">
        <f aca="false">PI()*POWER((T88/200),2)</f>
        <v>0</v>
      </c>
      <c r="AB88" s="15" t="n">
        <f aca="false">PI()*POWER((U88/200),2)</f>
        <v>0</v>
      </c>
    </row>
    <row r="89" customFormat="false" ht="15" hidden="false" customHeight="false" outlineLevel="0" collapsed="false">
      <c r="A89" s="2" t="s">
        <v>20</v>
      </c>
      <c r="B89" s="2" t="n">
        <v>1</v>
      </c>
      <c r="C89" s="9" t="n">
        <v>46264</v>
      </c>
      <c r="D89" s="2" t="n">
        <v>4</v>
      </c>
      <c r="E89" s="2" t="s">
        <v>35</v>
      </c>
      <c r="F89" s="2" t="s">
        <v>36</v>
      </c>
      <c r="G89" s="2" t="s">
        <v>37</v>
      </c>
      <c r="H89" s="2" t="s">
        <v>38</v>
      </c>
      <c r="I89" s="2" t="s">
        <v>39</v>
      </c>
      <c r="J89" s="2" t="n">
        <v>25</v>
      </c>
      <c r="K89" s="32" t="s">
        <v>97</v>
      </c>
      <c r="L89" s="15" t="n">
        <f aca="false">SUM(V89:AB89)</f>
        <v>7.85398163397448E-005</v>
      </c>
      <c r="M89" s="15" t="n">
        <f aca="false">MAX(O89:U89)</f>
        <v>1</v>
      </c>
      <c r="N89" s="15" t="n">
        <f aca="false">COUNTIF(M89,"&gt;9.9")</f>
        <v>0</v>
      </c>
      <c r="O89" s="2" t="n">
        <v>1</v>
      </c>
      <c r="V89" s="15" t="n">
        <f aca="false">PI()*POWER((O89/200),2)</f>
        <v>7.85398163397448E-005</v>
      </c>
      <c r="W89" s="15" t="n">
        <f aca="false">PI()*POWER((P89/200),2)</f>
        <v>0</v>
      </c>
      <c r="X89" s="15" t="n">
        <f aca="false">PI()*POWER((Q89/200),2)</f>
        <v>0</v>
      </c>
      <c r="Y89" s="15" t="n">
        <f aca="false">PI()*POWER((R89/200),2)</f>
        <v>0</v>
      </c>
      <c r="Z89" s="15" t="n">
        <f aca="false">PI()*POWER((S89/200),2)</f>
        <v>0</v>
      </c>
      <c r="AA89" s="15" t="n">
        <f aca="false">PI()*POWER((T89/200),2)</f>
        <v>0</v>
      </c>
      <c r="AB89" s="15" t="n">
        <f aca="false">PI()*POWER((U89/200),2)</f>
        <v>0</v>
      </c>
    </row>
    <row r="90" customFormat="false" ht="15" hidden="false" customHeight="false" outlineLevel="0" collapsed="false">
      <c r="A90" s="2" t="s">
        <v>20</v>
      </c>
      <c r="B90" s="2" t="n">
        <v>1</v>
      </c>
      <c r="C90" s="9" t="n">
        <v>46264</v>
      </c>
      <c r="D90" s="2" t="n">
        <v>4</v>
      </c>
      <c r="E90" s="2" t="s">
        <v>35</v>
      </c>
      <c r="F90" s="2" t="s">
        <v>36</v>
      </c>
      <c r="G90" s="2" t="s">
        <v>37</v>
      </c>
      <c r="H90" s="2" t="s">
        <v>38</v>
      </c>
      <c r="I90" s="2" t="s">
        <v>39</v>
      </c>
      <c r="J90" s="2" t="n">
        <v>26</v>
      </c>
      <c r="K90" s="32" t="s">
        <v>97</v>
      </c>
      <c r="L90" s="15" t="n">
        <f aca="false">SUM(V90:AB90)</f>
        <v>0.010028749148422</v>
      </c>
      <c r="M90" s="15" t="n">
        <f aca="false">MAX(O90:U90)</f>
        <v>11.3</v>
      </c>
      <c r="N90" s="15" t="n">
        <f aca="false">COUNTIF(M90,"&gt;9.9")</f>
        <v>1</v>
      </c>
      <c r="O90" s="2" t="n">
        <v>11.3</v>
      </c>
      <c r="V90" s="15" t="n">
        <f aca="false">PI()*POWER((O90/200),2)</f>
        <v>0.010028749148422</v>
      </c>
      <c r="W90" s="15" t="n">
        <f aca="false">PI()*POWER((P90/200),2)</f>
        <v>0</v>
      </c>
      <c r="X90" s="15" t="n">
        <f aca="false">PI()*POWER((Q90/200),2)</f>
        <v>0</v>
      </c>
      <c r="Y90" s="15" t="n">
        <f aca="false">PI()*POWER((R90/200),2)</f>
        <v>0</v>
      </c>
      <c r="Z90" s="15" t="n">
        <f aca="false">PI()*POWER((S90/200),2)</f>
        <v>0</v>
      </c>
      <c r="AA90" s="15" t="n">
        <f aca="false">PI()*POWER((T90/200),2)</f>
        <v>0</v>
      </c>
      <c r="AB90" s="15" t="n">
        <f aca="false">PI()*POWER((U90/200),2)</f>
        <v>0</v>
      </c>
    </row>
    <row r="91" customFormat="false" ht="15" hidden="false" customHeight="false" outlineLevel="0" collapsed="false">
      <c r="A91" s="2" t="s">
        <v>20</v>
      </c>
      <c r="B91" s="2" t="n">
        <v>1</v>
      </c>
      <c r="C91" s="9" t="n">
        <v>46264</v>
      </c>
      <c r="D91" s="2" t="n">
        <v>4</v>
      </c>
      <c r="E91" s="2" t="s">
        <v>35</v>
      </c>
      <c r="F91" s="2" t="s">
        <v>36</v>
      </c>
      <c r="G91" s="2" t="s">
        <v>37</v>
      </c>
      <c r="H91" s="2" t="s">
        <v>38</v>
      </c>
      <c r="I91" s="2" t="s">
        <v>39</v>
      </c>
      <c r="J91" s="2" t="n">
        <v>15</v>
      </c>
      <c r="K91" s="32" t="s">
        <v>97</v>
      </c>
      <c r="L91" s="15" t="n">
        <f aca="false">SUM(V91:AB91)</f>
        <v>0.0126676869774374</v>
      </c>
      <c r="M91" s="15" t="n">
        <f aca="false">MAX(O91:U91)</f>
        <v>12.7</v>
      </c>
      <c r="N91" s="15" t="n">
        <f aca="false">COUNTIF(M91,"&gt;9.9")</f>
        <v>1</v>
      </c>
      <c r="O91" s="15" t="n">
        <v>12.7</v>
      </c>
      <c r="V91" s="15" t="n">
        <f aca="false">PI()*POWER((O91/200),2)</f>
        <v>0.0126676869774374</v>
      </c>
      <c r="W91" s="15" t="n">
        <f aca="false">PI()*POWER((P91/200),2)</f>
        <v>0</v>
      </c>
      <c r="X91" s="15" t="n">
        <f aca="false">PI()*POWER((Q91/200),2)</f>
        <v>0</v>
      </c>
      <c r="Y91" s="15" t="n">
        <f aca="false">PI()*POWER((R91/200),2)</f>
        <v>0</v>
      </c>
      <c r="Z91" s="15" t="n">
        <f aca="false">PI()*POWER((S91/200),2)</f>
        <v>0</v>
      </c>
      <c r="AA91" s="15" t="n">
        <f aca="false">PI()*POWER((T91/200),2)</f>
        <v>0</v>
      </c>
      <c r="AB91" s="15" t="n">
        <f aca="false">PI()*POWER((U91/200),2)</f>
        <v>0</v>
      </c>
    </row>
    <row r="92" customFormat="false" ht="15" hidden="false" customHeight="false" outlineLevel="0" collapsed="false">
      <c r="A92" s="2" t="s">
        <v>20</v>
      </c>
      <c r="B92" s="2" t="n">
        <v>1</v>
      </c>
      <c r="C92" s="9" t="n">
        <v>46264</v>
      </c>
      <c r="D92" s="2" t="n">
        <v>4</v>
      </c>
      <c r="E92" s="2" t="s">
        <v>35</v>
      </c>
      <c r="F92" s="2" t="s">
        <v>36</v>
      </c>
      <c r="G92" s="2" t="s">
        <v>37</v>
      </c>
      <c r="H92" s="2" t="s">
        <v>38</v>
      </c>
      <c r="I92" s="2" t="s">
        <v>39</v>
      </c>
      <c r="J92" s="2" t="n">
        <v>7</v>
      </c>
      <c r="K92" s="32" t="s">
        <v>97</v>
      </c>
      <c r="L92" s="15" t="n">
        <f aca="false">SUM(V92:AB92)</f>
        <v>0.0216424317905801</v>
      </c>
      <c r="M92" s="15" t="n">
        <f aca="false">MAX(O92:U92)</f>
        <v>16.6</v>
      </c>
      <c r="N92" s="15" t="n">
        <f aca="false">COUNTIF(M92,"&gt;9.9")</f>
        <v>1</v>
      </c>
      <c r="O92" s="15" t="n">
        <v>16.6</v>
      </c>
      <c r="V92" s="15" t="n">
        <f aca="false">PI()*POWER((O92/200),2)</f>
        <v>0.0216424317905801</v>
      </c>
      <c r="W92" s="15" t="n">
        <f aca="false">PI()*POWER((P92/200),2)</f>
        <v>0</v>
      </c>
      <c r="X92" s="15" t="n">
        <f aca="false">PI()*POWER((Q92/200),2)</f>
        <v>0</v>
      </c>
      <c r="Y92" s="15" t="n">
        <f aca="false">PI()*POWER((R92/200),2)</f>
        <v>0</v>
      </c>
      <c r="Z92" s="15" t="n">
        <f aca="false">PI()*POWER((S92/200),2)</f>
        <v>0</v>
      </c>
      <c r="AA92" s="15" t="n">
        <f aca="false">PI()*POWER((T92/200),2)</f>
        <v>0</v>
      </c>
      <c r="AB92" s="15" t="n">
        <f aca="false">PI()*POWER((U92/200),2)</f>
        <v>0</v>
      </c>
    </row>
    <row r="93" customFormat="false" ht="15" hidden="false" customHeight="false" outlineLevel="0" collapsed="false">
      <c r="A93" s="2" t="s">
        <v>20</v>
      </c>
      <c r="B93" s="2" t="n">
        <v>1</v>
      </c>
      <c r="C93" s="9" t="n">
        <v>46264</v>
      </c>
      <c r="D93" s="2" t="n">
        <v>4</v>
      </c>
      <c r="E93" s="2" t="s">
        <v>35</v>
      </c>
      <c r="F93" s="2" t="s">
        <v>36</v>
      </c>
      <c r="G93" s="2" t="s">
        <v>37</v>
      </c>
      <c r="H93" s="2" t="s">
        <v>38</v>
      </c>
      <c r="I93" s="2" t="s">
        <v>39</v>
      </c>
      <c r="J93" s="2" t="n">
        <v>21</v>
      </c>
      <c r="K93" s="32" t="s">
        <v>97</v>
      </c>
      <c r="L93" s="15" t="n">
        <f aca="false">SUM(V93:AB93)</f>
        <v>0.0246057390610787</v>
      </c>
      <c r="M93" s="15" t="n">
        <f aca="false">MAX(O93:U93)</f>
        <v>17.7</v>
      </c>
      <c r="N93" s="15" t="n">
        <f aca="false">COUNTIF(M93,"&gt;9.9")</f>
        <v>1</v>
      </c>
      <c r="O93" s="2" t="n">
        <v>17.7</v>
      </c>
      <c r="V93" s="15" t="n">
        <f aca="false">PI()*POWER((O93/200),2)</f>
        <v>0.0246057390610787</v>
      </c>
      <c r="W93" s="15" t="n">
        <f aca="false">PI()*POWER((P93/200),2)</f>
        <v>0</v>
      </c>
      <c r="X93" s="15" t="n">
        <f aca="false">PI()*POWER((Q93/200),2)</f>
        <v>0</v>
      </c>
      <c r="Y93" s="15" t="n">
        <f aca="false">PI()*POWER((R93/200),2)</f>
        <v>0</v>
      </c>
      <c r="Z93" s="15" t="n">
        <f aca="false">PI()*POWER((S93/200),2)</f>
        <v>0</v>
      </c>
      <c r="AA93" s="15" t="n">
        <f aca="false">PI()*POWER((T93/200),2)</f>
        <v>0</v>
      </c>
      <c r="AB93" s="15" t="n">
        <f aca="false">PI()*POWER((U93/200),2)</f>
        <v>0</v>
      </c>
    </row>
    <row r="94" customFormat="false" ht="15" hidden="false" customHeight="false" outlineLevel="0" collapsed="false">
      <c r="A94" s="2" t="s">
        <v>20</v>
      </c>
      <c r="B94" s="2" t="n">
        <v>1</v>
      </c>
      <c r="C94" s="9" t="n">
        <v>46264</v>
      </c>
      <c r="D94" s="2" t="n">
        <v>4</v>
      </c>
      <c r="E94" s="2" t="s">
        <v>35</v>
      </c>
      <c r="F94" s="2" t="s">
        <v>36</v>
      </c>
      <c r="G94" s="2" t="s">
        <v>37</v>
      </c>
      <c r="H94" s="2" t="s">
        <v>38</v>
      </c>
      <c r="I94" s="2" t="s">
        <v>39</v>
      </c>
      <c r="J94" s="2" t="n">
        <v>12</v>
      </c>
      <c r="K94" s="32" t="s">
        <v>97</v>
      </c>
      <c r="L94" s="15" t="n">
        <f aca="false">SUM(V94:AB94)</f>
        <v>0.0274645883758454</v>
      </c>
      <c r="M94" s="15" t="n">
        <f aca="false">MAX(O94:U94)</f>
        <v>18.7</v>
      </c>
      <c r="N94" s="15" t="n">
        <f aca="false">COUNTIF(M94,"&gt;9.9")</f>
        <v>1</v>
      </c>
      <c r="O94" s="15" t="n">
        <v>18.7</v>
      </c>
      <c r="V94" s="15" t="n">
        <f aca="false">PI()*POWER((O94/200),2)</f>
        <v>0.0274645883758454</v>
      </c>
      <c r="W94" s="15" t="n">
        <f aca="false">PI()*POWER((P94/200),2)</f>
        <v>0</v>
      </c>
      <c r="X94" s="15" t="n">
        <f aca="false">PI()*POWER((Q94/200),2)</f>
        <v>0</v>
      </c>
      <c r="Y94" s="15" t="n">
        <f aca="false">PI()*POWER((R94/200),2)</f>
        <v>0</v>
      </c>
      <c r="Z94" s="15" t="n">
        <f aca="false">PI()*POWER((S94/200),2)</f>
        <v>0</v>
      </c>
      <c r="AA94" s="15" t="n">
        <f aca="false">PI()*POWER((T94/200),2)</f>
        <v>0</v>
      </c>
      <c r="AB94" s="15" t="n">
        <f aca="false">PI()*POWER((U94/200),2)</f>
        <v>0</v>
      </c>
    </row>
    <row r="95" customFormat="false" ht="15" hidden="false" customHeight="false" outlineLevel="0" collapsed="false">
      <c r="A95" s="2" t="s">
        <v>20</v>
      </c>
      <c r="B95" s="2" t="n">
        <v>1</v>
      </c>
      <c r="C95" s="9" t="n">
        <v>46264</v>
      </c>
      <c r="D95" s="2" t="n">
        <v>4</v>
      </c>
      <c r="E95" s="2" t="s">
        <v>35</v>
      </c>
      <c r="F95" s="2" t="s">
        <v>36</v>
      </c>
      <c r="G95" s="2" t="s">
        <v>37</v>
      </c>
      <c r="H95" s="2" t="s">
        <v>38</v>
      </c>
      <c r="I95" s="2" t="s">
        <v>39</v>
      </c>
      <c r="J95" s="2" t="n">
        <v>28</v>
      </c>
      <c r="K95" s="32" t="s">
        <v>97</v>
      </c>
      <c r="L95" s="15" t="n">
        <f aca="false">SUM(V95:AB95)</f>
        <v>0.029864765163188</v>
      </c>
      <c r="M95" s="15" t="n">
        <f aca="false">MAX(O95:U95)</f>
        <v>19.5</v>
      </c>
      <c r="N95" s="15" t="n">
        <f aca="false">COUNTIF(M95,"&gt;9.9")</f>
        <v>1</v>
      </c>
      <c r="O95" s="2" t="n">
        <v>19.5</v>
      </c>
      <c r="V95" s="15" t="n">
        <f aca="false">PI()*POWER((O95/200),2)</f>
        <v>0.029864765163188</v>
      </c>
      <c r="W95" s="15" t="n">
        <f aca="false">PI()*POWER((P95/200),2)</f>
        <v>0</v>
      </c>
      <c r="X95" s="15" t="n">
        <f aca="false">PI()*POWER((Q95/200),2)</f>
        <v>0</v>
      </c>
      <c r="Y95" s="15" t="n">
        <f aca="false">PI()*POWER((R95/200),2)</f>
        <v>0</v>
      </c>
      <c r="Z95" s="15" t="n">
        <f aca="false">PI()*POWER((S95/200),2)</f>
        <v>0</v>
      </c>
      <c r="AA95" s="15" t="n">
        <f aca="false">PI()*POWER((T95/200),2)</f>
        <v>0</v>
      </c>
      <c r="AB95" s="15" t="n">
        <f aca="false">PI()*POWER((U95/200),2)</f>
        <v>0</v>
      </c>
    </row>
    <row r="96" customFormat="false" ht="15" hidden="false" customHeight="false" outlineLevel="0" collapsed="false">
      <c r="A96" s="2" t="s">
        <v>20</v>
      </c>
      <c r="B96" s="2" t="n">
        <v>1</v>
      </c>
      <c r="C96" s="9" t="n">
        <v>46264</v>
      </c>
      <c r="D96" s="2" t="n">
        <v>4</v>
      </c>
      <c r="E96" s="2" t="s">
        <v>35</v>
      </c>
      <c r="F96" s="2" t="s">
        <v>36</v>
      </c>
      <c r="G96" s="2" t="s">
        <v>37</v>
      </c>
      <c r="H96" s="2" t="s">
        <v>38</v>
      </c>
      <c r="I96" s="2" t="s">
        <v>39</v>
      </c>
      <c r="J96" s="2" t="n">
        <v>9</v>
      </c>
      <c r="K96" s="32" t="s">
        <v>97</v>
      </c>
      <c r="L96" s="15" t="n">
        <f aca="false">SUM(V96:AB96)</f>
        <v>0.0404707819617071</v>
      </c>
      <c r="M96" s="15" t="n">
        <f aca="false">MAX(O96:U96)</f>
        <v>22.7</v>
      </c>
      <c r="N96" s="15" t="n">
        <f aca="false">COUNTIF(M96,"&gt;9.9")</f>
        <v>1</v>
      </c>
      <c r="O96" s="15" t="n">
        <v>22.7</v>
      </c>
      <c r="V96" s="15" t="n">
        <f aca="false">PI()*POWER((O96/200),2)</f>
        <v>0.0404707819617071</v>
      </c>
      <c r="W96" s="15" t="n">
        <f aca="false">PI()*POWER((P96/200),2)</f>
        <v>0</v>
      </c>
      <c r="X96" s="15" t="n">
        <f aca="false">PI()*POWER((Q96/200),2)</f>
        <v>0</v>
      </c>
      <c r="Y96" s="15" t="n">
        <f aca="false">PI()*POWER((R96/200),2)</f>
        <v>0</v>
      </c>
      <c r="Z96" s="15" t="n">
        <f aca="false">PI()*POWER((S96/200),2)</f>
        <v>0</v>
      </c>
      <c r="AA96" s="15" t="n">
        <f aca="false">PI()*POWER((T96/200),2)</f>
        <v>0</v>
      </c>
      <c r="AB96" s="15" t="n">
        <f aca="false">PI()*POWER((U96/200),2)</f>
        <v>0</v>
      </c>
    </row>
    <row r="97" customFormat="false" ht="15" hidden="false" customHeight="false" outlineLevel="0" collapsed="false">
      <c r="A97" s="2" t="s">
        <v>20</v>
      </c>
      <c r="B97" s="2" t="n">
        <v>1</v>
      </c>
      <c r="C97" s="9" t="n">
        <v>46264</v>
      </c>
      <c r="D97" s="2" t="n">
        <v>4</v>
      </c>
      <c r="E97" s="2" t="s">
        <v>35</v>
      </c>
      <c r="F97" s="2" t="s">
        <v>36</v>
      </c>
      <c r="G97" s="2" t="s">
        <v>37</v>
      </c>
      <c r="H97" s="2" t="s">
        <v>38</v>
      </c>
      <c r="I97" s="2" t="s">
        <v>39</v>
      </c>
      <c r="J97" s="2" t="n">
        <v>24</v>
      </c>
      <c r="K97" s="32" t="s">
        <v>97</v>
      </c>
      <c r="L97" s="15" t="n">
        <f aca="false">SUM(V97:AB97)</f>
        <v>0.040828138126053</v>
      </c>
      <c r="M97" s="15" t="n">
        <f aca="false">MAX(O97:U97)</f>
        <v>22.8</v>
      </c>
      <c r="N97" s="15" t="n">
        <f aca="false">COUNTIF(M97,"&gt;9.9")</f>
        <v>1</v>
      </c>
      <c r="O97" s="2" t="n">
        <v>22.8</v>
      </c>
      <c r="V97" s="15" t="n">
        <f aca="false">PI()*POWER((O97/200),2)</f>
        <v>0.040828138126053</v>
      </c>
      <c r="W97" s="15" t="n">
        <f aca="false">PI()*POWER((P97/200),2)</f>
        <v>0</v>
      </c>
      <c r="X97" s="15" t="n">
        <f aca="false">PI()*POWER((Q97/200),2)</f>
        <v>0</v>
      </c>
      <c r="Y97" s="15" t="n">
        <f aca="false">PI()*POWER((R97/200),2)</f>
        <v>0</v>
      </c>
      <c r="Z97" s="15" t="n">
        <f aca="false">PI()*POWER((S97/200),2)</f>
        <v>0</v>
      </c>
      <c r="AA97" s="15" t="n">
        <f aca="false">PI()*POWER((T97/200),2)</f>
        <v>0</v>
      </c>
      <c r="AB97" s="15" t="n">
        <f aca="false">PI()*POWER((U97/200),2)</f>
        <v>0</v>
      </c>
    </row>
    <row r="98" customFormat="false" ht="15" hidden="false" customHeight="false" outlineLevel="0" collapsed="false">
      <c r="A98" s="2" t="s">
        <v>20</v>
      </c>
      <c r="B98" s="2" t="n">
        <v>1</v>
      </c>
      <c r="C98" s="9" t="n">
        <v>46264</v>
      </c>
      <c r="D98" s="2" t="n">
        <v>4</v>
      </c>
      <c r="E98" s="2" t="s">
        <v>35</v>
      </c>
      <c r="F98" s="2" t="s">
        <v>36</v>
      </c>
      <c r="G98" s="2" t="s">
        <v>37</v>
      </c>
      <c r="H98" s="2" t="s">
        <v>38</v>
      </c>
      <c r="I98" s="2" t="s">
        <v>39</v>
      </c>
      <c r="J98" s="2" t="n">
        <v>13</v>
      </c>
      <c r="K98" s="32" t="s">
        <v>97</v>
      </c>
      <c r="L98" s="15" t="n">
        <f aca="false">SUM(V98:AB98)</f>
        <v>0.0886062646000099</v>
      </c>
      <c r="M98" s="15" t="n">
        <f aca="false">MAX(O98:U98)</f>
        <v>23.9</v>
      </c>
      <c r="N98" s="15" t="n">
        <f aca="false">COUNTIF(M98,"&gt;9.9")</f>
        <v>1</v>
      </c>
      <c r="O98" s="15" t="n">
        <v>23.9</v>
      </c>
      <c r="P98" s="2" t="n">
        <v>23.6</v>
      </c>
      <c r="V98" s="15" t="n">
        <f aca="false">PI()*POWER((O98/200),2)</f>
        <v>0.0448627284914256</v>
      </c>
      <c r="W98" s="15" t="n">
        <f aca="false">PI()*POWER((P98/200),2)</f>
        <v>0.0437435361085843</v>
      </c>
      <c r="X98" s="15" t="n">
        <f aca="false">PI()*POWER((Q98/200),2)</f>
        <v>0</v>
      </c>
      <c r="Y98" s="15" t="n">
        <f aca="false">PI()*POWER((R98/200),2)</f>
        <v>0</v>
      </c>
      <c r="Z98" s="15" t="n">
        <f aca="false">PI()*POWER((S98/200),2)</f>
        <v>0</v>
      </c>
      <c r="AA98" s="15" t="n">
        <f aca="false">PI()*POWER((T98/200),2)</f>
        <v>0</v>
      </c>
      <c r="AB98" s="15" t="n">
        <f aca="false">PI()*POWER((U98/200),2)</f>
        <v>0</v>
      </c>
    </row>
    <row r="99" customFormat="false" ht="15" hidden="false" customHeight="false" outlineLevel="0" collapsed="false">
      <c r="A99" s="2" t="s">
        <v>20</v>
      </c>
      <c r="B99" s="2" t="n">
        <v>1</v>
      </c>
      <c r="C99" s="9" t="n">
        <v>46264</v>
      </c>
      <c r="D99" s="2" t="n">
        <v>4</v>
      </c>
      <c r="E99" s="2" t="s">
        <v>35</v>
      </c>
      <c r="F99" s="2" t="s">
        <v>36</v>
      </c>
      <c r="G99" s="2" t="s">
        <v>37</v>
      </c>
      <c r="H99" s="2" t="s">
        <v>38</v>
      </c>
      <c r="I99" s="2" t="s">
        <v>39</v>
      </c>
      <c r="J99" s="2" t="n">
        <v>6</v>
      </c>
      <c r="K99" s="32" t="s">
        <v>97</v>
      </c>
      <c r="L99" s="15" t="n">
        <f aca="false">SUM(V99:AB99)</f>
        <v>0.0471435247579318</v>
      </c>
      <c r="M99" s="15" t="n">
        <f aca="false">MAX(O99:U99)</f>
        <v>24.5</v>
      </c>
      <c r="N99" s="15" t="n">
        <f aca="false">COUNTIF(M99,"&gt;9.9")</f>
        <v>1</v>
      </c>
      <c r="O99" s="15" t="n">
        <v>24.5</v>
      </c>
      <c r="V99" s="15" t="n">
        <f aca="false">PI()*POWER((O99/200),2)</f>
        <v>0.0471435247579318</v>
      </c>
      <c r="W99" s="15" t="n">
        <f aca="false">PI()*POWER((P99/200),2)</f>
        <v>0</v>
      </c>
      <c r="X99" s="15" t="n">
        <f aca="false">PI()*POWER((Q99/200),2)</f>
        <v>0</v>
      </c>
      <c r="Y99" s="15" t="n">
        <f aca="false">PI()*POWER((R99/200),2)</f>
        <v>0</v>
      </c>
      <c r="Z99" s="15" t="n">
        <f aca="false">PI()*POWER((S99/200),2)</f>
        <v>0</v>
      </c>
      <c r="AA99" s="15" t="n">
        <f aca="false">PI()*POWER((T99/200),2)</f>
        <v>0</v>
      </c>
      <c r="AB99" s="15" t="n">
        <f aca="false">PI()*POWER((U99/200),2)</f>
        <v>0</v>
      </c>
    </row>
    <row r="100" customFormat="false" ht="15" hidden="false" customHeight="false" outlineLevel="0" collapsed="false">
      <c r="A100" s="2" t="s">
        <v>20</v>
      </c>
      <c r="B100" s="2" t="n">
        <v>1</v>
      </c>
      <c r="C100" s="9" t="n">
        <v>46264</v>
      </c>
      <c r="D100" s="2" t="n">
        <v>4</v>
      </c>
      <c r="E100" s="2" t="s">
        <v>35</v>
      </c>
      <c r="F100" s="2" t="s">
        <v>36</v>
      </c>
      <c r="G100" s="2" t="s">
        <v>37</v>
      </c>
      <c r="H100" s="2" t="s">
        <v>38</v>
      </c>
      <c r="I100" s="2" t="s">
        <v>39</v>
      </c>
      <c r="J100" s="2" t="n">
        <v>14</v>
      </c>
      <c r="K100" s="32" t="s">
        <v>97</v>
      </c>
      <c r="L100" s="15" t="n">
        <f aca="false">SUM(V100:AB100)</f>
        <v>0.0522792433483877</v>
      </c>
      <c r="M100" s="15" t="n">
        <f aca="false">MAX(O100:U100)</f>
        <v>25.8</v>
      </c>
      <c r="N100" s="15" t="n">
        <f aca="false">COUNTIF(M100,"&gt;9.9")</f>
        <v>1</v>
      </c>
      <c r="O100" s="15" t="n">
        <v>25.8</v>
      </c>
      <c r="V100" s="15" t="n">
        <f aca="false">PI()*POWER((O100/200),2)</f>
        <v>0.0522792433483877</v>
      </c>
      <c r="W100" s="15" t="n">
        <f aca="false">PI()*POWER((P100/200),2)</f>
        <v>0</v>
      </c>
      <c r="X100" s="15" t="n">
        <f aca="false">PI()*POWER((Q100/200),2)</f>
        <v>0</v>
      </c>
      <c r="Y100" s="15" t="n">
        <f aca="false">PI()*POWER((R100/200),2)</f>
        <v>0</v>
      </c>
      <c r="Z100" s="15" t="n">
        <f aca="false">PI()*POWER((S100/200),2)</f>
        <v>0</v>
      </c>
      <c r="AA100" s="15" t="n">
        <f aca="false">PI()*POWER((T100/200),2)</f>
        <v>0</v>
      </c>
      <c r="AB100" s="15" t="n">
        <f aca="false">PI()*POWER((U100/200),2)</f>
        <v>0</v>
      </c>
    </row>
    <row r="101" customFormat="false" ht="15" hidden="false" customHeight="false" outlineLevel="0" collapsed="false">
      <c r="A101" s="2" t="s">
        <v>20</v>
      </c>
      <c r="B101" s="2" t="n">
        <v>1</v>
      </c>
      <c r="C101" s="9" t="n">
        <v>46264</v>
      </c>
      <c r="D101" s="2" t="n">
        <v>4</v>
      </c>
      <c r="E101" s="2" t="s">
        <v>35</v>
      </c>
      <c r="F101" s="2" t="s">
        <v>36</v>
      </c>
      <c r="G101" s="2" t="s">
        <v>37</v>
      </c>
      <c r="H101" s="2" t="s">
        <v>38</v>
      </c>
      <c r="I101" s="2" t="s">
        <v>39</v>
      </c>
      <c r="J101" s="2" t="n">
        <v>27</v>
      </c>
      <c r="K101" s="32" t="s">
        <v>97</v>
      </c>
      <c r="L101" s="15" t="n">
        <f aca="false">SUM(V101:AB101)</f>
        <v>0.057680426518072</v>
      </c>
      <c r="M101" s="15" t="n">
        <f aca="false">MAX(O101:U101)</f>
        <v>27.1</v>
      </c>
      <c r="N101" s="15" t="n">
        <f aca="false">COUNTIF(M101,"&gt;9.9")</f>
        <v>1</v>
      </c>
      <c r="O101" s="2" t="n">
        <v>27.1</v>
      </c>
      <c r="V101" s="15" t="n">
        <f aca="false">PI()*POWER((O101/200),2)</f>
        <v>0.057680426518072</v>
      </c>
      <c r="W101" s="15" t="n">
        <f aca="false">PI()*POWER((P101/200),2)</f>
        <v>0</v>
      </c>
      <c r="X101" s="15" t="n">
        <f aca="false">PI()*POWER((Q101/200),2)</f>
        <v>0</v>
      </c>
      <c r="Y101" s="15" t="n">
        <f aca="false">PI()*POWER((R101/200),2)</f>
        <v>0</v>
      </c>
      <c r="Z101" s="15" t="n">
        <f aca="false">PI()*POWER((S101/200),2)</f>
        <v>0</v>
      </c>
      <c r="AA101" s="15" t="n">
        <f aca="false">PI()*POWER((T101/200),2)</f>
        <v>0</v>
      </c>
      <c r="AB101" s="15" t="n">
        <f aca="false">PI()*POWER((U101/200),2)</f>
        <v>0</v>
      </c>
    </row>
    <row r="102" customFormat="false" ht="15" hidden="false" customHeight="false" outlineLevel="0" collapsed="false">
      <c r="A102" s="2" t="s">
        <v>20</v>
      </c>
      <c r="B102" s="2" t="n">
        <v>1</v>
      </c>
      <c r="C102" s="9" t="n">
        <v>46264</v>
      </c>
      <c r="D102" s="2" t="n">
        <v>4</v>
      </c>
      <c r="E102" s="2" t="s">
        <v>35</v>
      </c>
      <c r="F102" s="2" t="s">
        <v>36</v>
      </c>
      <c r="G102" s="2" t="s">
        <v>37</v>
      </c>
      <c r="H102" s="2" t="s">
        <v>38</v>
      </c>
      <c r="I102" s="2" t="s">
        <v>39</v>
      </c>
      <c r="J102" s="2" t="n">
        <v>16</v>
      </c>
      <c r="K102" s="32" t="s">
        <v>97</v>
      </c>
      <c r="L102" s="15" t="n">
        <f aca="false">SUM(V102:AB102)</f>
        <v>0.0642424281732577</v>
      </c>
      <c r="M102" s="15" t="n">
        <f aca="false">MAX(O102:U102)</f>
        <v>28.6</v>
      </c>
      <c r="N102" s="15" t="n">
        <f aca="false">COUNTIF(M102,"&gt;9.9")</f>
        <v>1</v>
      </c>
      <c r="O102" s="15" t="n">
        <v>28.6</v>
      </c>
      <c r="V102" s="15" t="n">
        <f aca="false">PI()*POWER((O102/200),2)</f>
        <v>0.0642424281732577</v>
      </c>
      <c r="W102" s="15" t="n">
        <f aca="false">PI()*POWER((P102/200),2)</f>
        <v>0</v>
      </c>
      <c r="X102" s="15" t="n">
        <f aca="false">PI()*POWER((Q102/200),2)</f>
        <v>0</v>
      </c>
      <c r="Y102" s="15" t="n">
        <f aca="false">PI()*POWER((R102/200),2)</f>
        <v>0</v>
      </c>
      <c r="Z102" s="15" t="n">
        <f aca="false">PI()*POWER((S102/200),2)</f>
        <v>0</v>
      </c>
      <c r="AA102" s="15" t="n">
        <f aca="false">PI()*POWER((T102/200),2)</f>
        <v>0</v>
      </c>
      <c r="AB102" s="15" t="n">
        <f aca="false">PI()*POWER((U102/200),2)</f>
        <v>0</v>
      </c>
    </row>
    <row r="103" customFormat="false" ht="15" hidden="false" customHeight="false" outlineLevel="0" collapsed="false">
      <c r="A103" s="2" t="s">
        <v>20</v>
      </c>
      <c r="B103" s="2" t="n">
        <v>1</v>
      </c>
      <c r="C103" s="9" t="n">
        <v>46264</v>
      </c>
      <c r="D103" s="2" t="n">
        <v>4</v>
      </c>
      <c r="E103" s="2" t="s">
        <v>35</v>
      </c>
      <c r="F103" s="2" t="s">
        <v>36</v>
      </c>
      <c r="G103" s="2" t="s">
        <v>37</v>
      </c>
      <c r="H103" s="2" t="s">
        <v>38</v>
      </c>
      <c r="I103" s="2" t="s">
        <v>39</v>
      </c>
      <c r="J103" s="2" t="n">
        <v>23</v>
      </c>
      <c r="K103" s="32" t="s">
        <v>97</v>
      </c>
      <c r="L103" s="15" t="n">
        <f aca="false">SUM(V103:AB103)</f>
        <v>0.0660519855417254</v>
      </c>
      <c r="M103" s="15" t="n">
        <f aca="false">MAX(O103:U103)</f>
        <v>29</v>
      </c>
      <c r="N103" s="15" t="n">
        <f aca="false">COUNTIF(M103,"&gt;9.9")</f>
        <v>1</v>
      </c>
      <c r="O103" s="2" t="n">
        <v>29</v>
      </c>
      <c r="V103" s="15" t="n">
        <f aca="false">PI()*POWER((O103/200),2)</f>
        <v>0.0660519855417254</v>
      </c>
      <c r="W103" s="15" t="n">
        <f aca="false">PI()*POWER((P103/200),2)</f>
        <v>0</v>
      </c>
      <c r="X103" s="15" t="n">
        <f aca="false">PI()*POWER((Q103/200),2)</f>
        <v>0</v>
      </c>
      <c r="Y103" s="15" t="n">
        <f aca="false">PI()*POWER((R103/200),2)</f>
        <v>0</v>
      </c>
      <c r="Z103" s="15" t="n">
        <f aca="false">PI()*POWER((S103/200),2)</f>
        <v>0</v>
      </c>
      <c r="AA103" s="15" t="n">
        <f aca="false">PI()*POWER((T103/200),2)</f>
        <v>0</v>
      </c>
      <c r="AB103" s="15" t="n">
        <f aca="false">PI()*POWER((U103/200),2)</f>
        <v>0</v>
      </c>
    </row>
    <row r="104" customFormat="false" ht="15" hidden="false" customHeight="false" outlineLevel="0" collapsed="false">
      <c r="A104" s="2" t="s">
        <v>20</v>
      </c>
      <c r="B104" s="2" t="n">
        <v>1</v>
      </c>
      <c r="C104" s="9" t="n">
        <v>46264</v>
      </c>
      <c r="D104" s="2" t="n">
        <v>4</v>
      </c>
      <c r="E104" s="2" t="s">
        <v>35</v>
      </c>
      <c r="F104" s="2" t="s">
        <v>36</v>
      </c>
      <c r="G104" s="2" t="s">
        <v>37</v>
      </c>
      <c r="H104" s="2" t="s">
        <v>38</v>
      </c>
      <c r="I104" s="2" t="s">
        <v>39</v>
      </c>
      <c r="J104" s="2" t="n">
        <v>19</v>
      </c>
      <c r="K104" s="32" t="s">
        <v>97</v>
      </c>
      <c r="L104" s="15" t="n">
        <f aca="false">SUM(V104:AB104)</f>
        <v>0.0754767635024948</v>
      </c>
      <c r="M104" s="15" t="n">
        <f aca="false">MAX(O104:U104)</f>
        <v>31</v>
      </c>
      <c r="N104" s="15" t="n">
        <f aca="false">COUNTIF(M104,"&gt;9.9")</f>
        <v>1</v>
      </c>
      <c r="O104" s="2" t="n">
        <v>31</v>
      </c>
      <c r="V104" s="15" t="n">
        <f aca="false">PI()*POWER((O104/200),2)</f>
        <v>0.0754767635024948</v>
      </c>
      <c r="W104" s="15" t="n">
        <f aca="false">PI()*POWER((P104/200),2)</f>
        <v>0</v>
      </c>
      <c r="X104" s="15" t="n">
        <f aca="false">PI()*POWER((Q104/200),2)</f>
        <v>0</v>
      </c>
      <c r="Y104" s="15" t="n">
        <f aca="false">PI()*POWER((R104/200),2)</f>
        <v>0</v>
      </c>
      <c r="Z104" s="15" t="n">
        <f aca="false">PI()*POWER((S104/200),2)</f>
        <v>0</v>
      </c>
      <c r="AA104" s="15" t="n">
        <f aca="false">PI()*POWER((T104/200),2)</f>
        <v>0</v>
      </c>
      <c r="AB104" s="15" t="n">
        <f aca="false">PI()*POWER((U104/200),2)</f>
        <v>0</v>
      </c>
    </row>
    <row r="105" customFormat="false" ht="15" hidden="false" customHeight="false" outlineLevel="0" collapsed="false">
      <c r="A105" s="2" t="s">
        <v>20</v>
      </c>
      <c r="B105" s="2" t="n">
        <v>1</v>
      </c>
      <c r="C105" s="9" t="n">
        <v>46264</v>
      </c>
      <c r="D105" s="2" t="n">
        <v>4</v>
      </c>
      <c r="E105" s="2" t="s">
        <v>35</v>
      </c>
      <c r="F105" s="2" t="s">
        <v>36</v>
      </c>
      <c r="G105" s="2" t="s">
        <v>37</v>
      </c>
      <c r="H105" s="2" t="s">
        <v>38</v>
      </c>
      <c r="I105" s="2" t="s">
        <v>39</v>
      </c>
      <c r="J105" s="2" t="n">
        <v>17</v>
      </c>
      <c r="K105" s="32" t="s">
        <v>97</v>
      </c>
      <c r="L105" s="15" t="n">
        <f aca="false">SUM(V105:AB105)</f>
        <v>0.0784267190042156</v>
      </c>
      <c r="M105" s="15" t="n">
        <f aca="false">MAX(O105:U105)</f>
        <v>31.6</v>
      </c>
      <c r="N105" s="15" t="n">
        <f aca="false">COUNTIF(M105,"&gt;9.9")</f>
        <v>1</v>
      </c>
      <c r="O105" s="15" t="n">
        <v>31.6</v>
      </c>
      <c r="V105" s="15" t="n">
        <f aca="false">PI()*POWER((O105/200),2)</f>
        <v>0.0784267190042156</v>
      </c>
      <c r="W105" s="15" t="n">
        <f aca="false">PI()*POWER((P105/200),2)</f>
        <v>0</v>
      </c>
      <c r="X105" s="15" t="n">
        <f aca="false">PI()*POWER((Q105/200),2)</f>
        <v>0</v>
      </c>
      <c r="Y105" s="15" t="n">
        <f aca="false">PI()*POWER((R105/200),2)</f>
        <v>0</v>
      </c>
      <c r="Z105" s="15" t="n">
        <f aca="false">PI()*POWER((S105/200),2)</f>
        <v>0</v>
      </c>
      <c r="AA105" s="15" t="n">
        <f aca="false">PI()*POWER((T105/200),2)</f>
        <v>0</v>
      </c>
      <c r="AB105" s="15" t="n">
        <f aca="false">PI()*POWER((U105/200),2)</f>
        <v>0</v>
      </c>
    </row>
    <row r="106" customFormat="false" ht="15" hidden="false" customHeight="false" outlineLevel="0" collapsed="false">
      <c r="A106" s="2" t="s">
        <v>20</v>
      </c>
      <c r="B106" s="2" t="n">
        <v>1</v>
      </c>
      <c r="C106" s="9" t="n">
        <v>46264</v>
      </c>
      <c r="D106" s="2" t="n">
        <v>4</v>
      </c>
      <c r="E106" s="2" t="s">
        <v>35</v>
      </c>
      <c r="F106" s="2" t="s">
        <v>36</v>
      </c>
      <c r="G106" s="2" t="s">
        <v>37</v>
      </c>
      <c r="H106" s="2" t="s">
        <v>38</v>
      </c>
      <c r="I106" s="2" t="s">
        <v>39</v>
      </c>
      <c r="J106" s="2" t="n">
        <v>5</v>
      </c>
      <c r="K106" s="32" t="s">
        <v>97</v>
      </c>
      <c r="L106" s="15" t="n">
        <f aca="false">SUM(V106:AB106)</f>
        <v>0.0804247719318987</v>
      </c>
      <c r="M106" s="15" t="n">
        <f aca="false">MAX(O106:U106)</f>
        <v>32</v>
      </c>
      <c r="N106" s="15" t="n">
        <f aca="false">COUNTIF(M106,"&gt;9.9")</f>
        <v>1</v>
      </c>
      <c r="O106" s="15" t="n">
        <v>32</v>
      </c>
      <c r="V106" s="15" t="n">
        <f aca="false">PI()*POWER((O106/200),2)</f>
        <v>0.0804247719318987</v>
      </c>
      <c r="W106" s="15" t="n">
        <f aca="false">PI()*POWER((P106/200),2)</f>
        <v>0</v>
      </c>
      <c r="X106" s="15" t="n">
        <f aca="false">PI()*POWER((Q106/200),2)</f>
        <v>0</v>
      </c>
      <c r="Y106" s="15" t="n">
        <f aca="false">PI()*POWER((R106/200),2)</f>
        <v>0</v>
      </c>
      <c r="Z106" s="15" t="n">
        <f aca="false">PI()*POWER((S106/200),2)</f>
        <v>0</v>
      </c>
      <c r="AA106" s="15" t="n">
        <f aca="false">PI()*POWER((T106/200),2)</f>
        <v>0</v>
      </c>
      <c r="AB106" s="15" t="n">
        <f aca="false">PI()*POWER((U106/200),2)</f>
        <v>0</v>
      </c>
    </row>
    <row r="107" customFormat="false" ht="15" hidden="false" customHeight="false" outlineLevel="0" collapsed="false">
      <c r="A107" s="2" t="s">
        <v>20</v>
      </c>
      <c r="B107" s="2" t="n">
        <v>1</v>
      </c>
      <c r="C107" s="9" t="n">
        <v>46264</v>
      </c>
      <c r="D107" s="2" t="n">
        <v>4</v>
      </c>
      <c r="E107" s="2" t="s">
        <v>35</v>
      </c>
      <c r="F107" s="2" t="s">
        <v>36</v>
      </c>
      <c r="G107" s="2" t="s">
        <v>37</v>
      </c>
      <c r="H107" s="2" t="s">
        <v>38</v>
      </c>
      <c r="I107" s="2" t="s">
        <v>39</v>
      </c>
      <c r="J107" s="2" t="n">
        <v>20</v>
      </c>
      <c r="K107" s="32" t="s">
        <v>97</v>
      </c>
      <c r="L107" s="15" t="n">
        <f aca="false">SUM(V107:AB107)</f>
        <v>0.0829576810088555</v>
      </c>
      <c r="M107" s="15" t="n">
        <f aca="false">MAX(O107:U107)</f>
        <v>32.5</v>
      </c>
      <c r="N107" s="15" t="n">
        <f aca="false">COUNTIF(M107,"&gt;9.9")</f>
        <v>1</v>
      </c>
      <c r="O107" s="2" t="n">
        <v>32.5</v>
      </c>
      <c r="V107" s="15" t="n">
        <f aca="false">PI()*POWER((O107/200),2)</f>
        <v>0.0829576810088555</v>
      </c>
      <c r="W107" s="15" t="n">
        <f aca="false">PI()*POWER((P107/200),2)</f>
        <v>0</v>
      </c>
      <c r="X107" s="15" t="n">
        <f aca="false">PI()*POWER((Q107/200),2)</f>
        <v>0</v>
      </c>
      <c r="Y107" s="15" t="n">
        <f aca="false">PI()*POWER((R107/200),2)</f>
        <v>0</v>
      </c>
      <c r="Z107" s="15" t="n">
        <f aca="false">PI()*POWER((S107/200),2)</f>
        <v>0</v>
      </c>
      <c r="AA107" s="15" t="n">
        <f aca="false">PI()*POWER((T107/200),2)</f>
        <v>0</v>
      </c>
      <c r="AB107" s="15" t="n">
        <f aca="false">PI()*POWER((U107/200),2)</f>
        <v>0</v>
      </c>
    </row>
    <row r="108" customFormat="false" ht="15" hidden="false" customHeight="false" outlineLevel="0" collapsed="false">
      <c r="A108" s="2" t="s">
        <v>20</v>
      </c>
      <c r="B108" s="2" t="n">
        <v>1</v>
      </c>
      <c r="C108" s="9" t="n">
        <v>46264</v>
      </c>
      <c r="D108" s="2" t="n">
        <v>4</v>
      </c>
      <c r="E108" s="2" t="s">
        <v>35</v>
      </c>
      <c r="F108" s="2" t="s">
        <v>36</v>
      </c>
      <c r="G108" s="2" t="s">
        <v>37</v>
      </c>
      <c r="H108" s="2" t="s">
        <v>38</v>
      </c>
      <c r="I108" s="2" t="s">
        <v>39</v>
      </c>
      <c r="J108" s="2" t="n">
        <v>18</v>
      </c>
      <c r="K108" s="32" t="s">
        <v>97</v>
      </c>
      <c r="L108" s="15" t="n">
        <f aca="false">SUM(V108:AB108)</f>
        <v>0.0839818402139258</v>
      </c>
      <c r="M108" s="15" t="n">
        <f aca="false">MAX(O108:U108)</f>
        <v>32.7</v>
      </c>
      <c r="N108" s="15" t="n">
        <f aca="false">COUNTIF(M108,"&gt;9.9")</f>
        <v>1</v>
      </c>
      <c r="O108" s="2" t="n">
        <v>32.7</v>
      </c>
      <c r="V108" s="15" t="n">
        <f aca="false">PI()*POWER((O108/200),2)</f>
        <v>0.0839818402139258</v>
      </c>
      <c r="W108" s="15" t="n">
        <f aca="false">PI()*POWER((P108/200),2)</f>
        <v>0</v>
      </c>
      <c r="X108" s="15" t="n">
        <f aca="false">PI()*POWER((Q108/200),2)</f>
        <v>0</v>
      </c>
      <c r="Y108" s="15" t="n">
        <f aca="false">PI()*POWER((R108/200),2)</f>
        <v>0</v>
      </c>
      <c r="Z108" s="15" t="n">
        <f aca="false">PI()*POWER((S108/200),2)</f>
        <v>0</v>
      </c>
      <c r="AA108" s="15" t="n">
        <f aca="false">PI()*POWER((T108/200),2)</f>
        <v>0</v>
      </c>
      <c r="AB108" s="15" t="n">
        <f aca="false">PI()*POWER((U108/200),2)</f>
        <v>0</v>
      </c>
    </row>
    <row r="109" customFormat="false" ht="15" hidden="false" customHeight="false" outlineLevel="0" collapsed="false">
      <c r="A109" s="2" t="s">
        <v>20</v>
      </c>
      <c r="B109" s="2" t="n">
        <v>1</v>
      </c>
      <c r="C109" s="9" t="n">
        <v>46264</v>
      </c>
      <c r="D109" s="2" t="n">
        <v>4</v>
      </c>
      <c r="E109" s="2" t="s">
        <v>35</v>
      </c>
      <c r="F109" s="2" t="s">
        <v>36</v>
      </c>
      <c r="G109" s="2" t="s">
        <v>37</v>
      </c>
      <c r="H109" s="2" t="s">
        <v>38</v>
      </c>
      <c r="I109" s="2" t="s">
        <v>39</v>
      </c>
      <c r="J109" s="2" t="n">
        <v>8</v>
      </c>
      <c r="K109" s="32" t="s">
        <v>97</v>
      </c>
      <c r="L109" s="15" t="n">
        <f aca="false">SUM(V109:AB109)</f>
        <v>0.0865697271623204</v>
      </c>
      <c r="M109" s="15" t="n">
        <f aca="false">MAX(O109:U109)</f>
        <v>33.2</v>
      </c>
      <c r="N109" s="15" t="n">
        <f aca="false">COUNTIF(M109,"&gt;9.9")</f>
        <v>1</v>
      </c>
      <c r="O109" s="15" t="n">
        <v>33.2</v>
      </c>
      <c r="V109" s="15" t="n">
        <f aca="false">PI()*POWER((O109/200),2)</f>
        <v>0.0865697271623204</v>
      </c>
      <c r="W109" s="15" t="n">
        <f aca="false">PI()*POWER((P109/200),2)</f>
        <v>0</v>
      </c>
      <c r="X109" s="15" t="n">
        <f aca="false">PI()*POWER((Q109/200),2)</f>
        <v>0</v>
      </c>
      <c r="Y109" s="15" t="n">
        <f aca="false">PI()*POWER((R109/200),2)</f>
        <v>0</v>
      </c>
      <c r="Z109" s="15" t="n">
        <f aca="false">PI()*POWER((S109/200),2)</f>
        <v>0</v>
      </c>
      <c r="AA109" s="15" t="n">
        <f aca="false">PI()*POWER((T109/200),2)</f>
        <v>0</v>
      </c>
      <c r="AB109" s="15" t="n">
        <f aca="false">PI()*POWER((U109/200),2)</f>
        <v>0</v>
      </c>
    </row>
    <row r="110" customFormat="false" ht="15" hidden="false" customHeight="false" outlineLevel="0" collapsed="false">
      <c r="A110" s="2" t="s">
        <v>20</v>
      </c>
      <c r="B110" s="2" t="n">
        <v>1</v>
      </c>
      <c r="C110" s="9" t="n">
        <v>46264</v>
      </c>
      <c r="D110" s="2" t="n">
        <v>4</v>
      </c>
      <c r="E110" s="2" t="s">
        <v>35</v>
      </c>
      <c r="F110" s="2" t="s">
        <v>36</v>
      </c>
      <c r="G110" s="2" t="s">
        <v>37</v>
      </c>
      <c r="H110" s="2" t="s">
        <v>38</v>
      </c>
      <c r="I110" s="2" t="s">
        <v>39</v>
      </c>
      <c r="J110" s="2" t="n">
        <v>11</v>
      </c>
      <c r="K110" s="32" t="s">
        <v>97</v>
      </c>
      <c r="L110" s="15" t="n">
        <f aca="false">SUM(V110:AB110)</f>
        <v>0.125947234880578</v>
      </c>
      <c r="M110" s="15" t="n">
        <f aca="false">MAX(O110:U110)</f>
        <v>34.4</v>
      </c>
      <c r="N110" s="15" t="n">
        <f aca="false">COUNTIF(M110,"&gt;9.9")</f>
        <v>1</v>
      </c>
      <c r="O110" s="15" t="n">
        <v>34.4</v>
      </c>
      <c r="P110" s="2" t="n">
        <v>20.5</v>
      </c>
      <c r="V110" s="15" t="n">
        <f aca="false">PI()*POWER((O110/200),2)</f>
        <v>0.0929408770638004</v>
      </c>
      <c r="W110" s="15" t="n">
        <f aca="false">PI()*POWER((P110/200),2)</f>
        <v>0.0330063578167778</v>
      </c>
      <c r="X110" s="15" t="n">
        <f aca="false">PI()*POWER((Q110/200),2)</f>
        <v>0</v>
      </c>
      <c r="Y110" s="15" t="n">
        <f aca="false">PI()*POWER((R110/200),2)</f>
        <v>0</v>
      </c>
      <c r="Z110" s="15" t="n">
        <f aca="false">PI()*POWER((S110/200),2)</f>
        <v>0</v>
      </c>
      <c r="AA110" s="15" t="n">
        <f aca="false">PI()*POWER((T110/200),2)</f>
        <v>0</v>
      </c>
      <c r="AB110" s="15" t="n">
        <f aca="false">PI()*POWER((U110/200),2)</f>
        <v>0</v>
      </c>
    </row>
    <row r="111" customFormat="false" ht="15" hidden="false" customHeight="false" outlineLevel="0" collapsed="false">
      <c r="A111" s="2" t="s">
        <v>20</v>
      </c>
      <c r="B111" s="2" t="n">
        <v>1</v>
      </c>
      <c r="C111" s="9" t="n">
        <v>46264</v>
      </c>
      <c r="D111" s="2" t="n">
        <v>4</v>
      </c>
      <c r="E111" s="2" t="s">
        <v>35</v>
      </c>
      <c r="F111" s="2" t="s">
        <v>36</v>
      </c>
      <c r="G111" s="2" t="s">
        <v>37</v>
      </c>
      <c r="H111" s="2" t="s">
        <v>38</v>
      </c>
      <c r="I111" s="2" t="s">
        <v>39</v>
      </c>
      <c r="J111" s="2" t="n">
        <v>2</v>
      </c>
      <c r="K111" s="32" t="s">
        <v>97</v>
      </c>
      <c r="L111" s="15" t="n">
        <f aca="false">SUM(V111:AB111)</f>
        <v>0.101787601976309</v>
      </c>
      <c r="M111" s="15" t="n">
        <f aca="false">MAX(O111:U111)</f>
        <v>36</v>
      </c>
      <c r="N111" s="15" t="n">
        <f aca="false">COUNTIF(M111,"&gt;9.9")</f>
        <v>1</v>
      </c>
      <c r="O111" s="15" t="n">
        <v>36</v>
      </c>
      <c r="V111" s="15" t="n">
        <f aca="false">PI()*POWER((O111/200),2)</f>
        <v>0.101787601976309</v>
      </c>
      <c r="W111" s="15" t="n">
        <f aca="false">PI()*POWER((P111/200),2)</f>
        <v>0</v>
      </c>
      <c r="X111" s="15" t="n">
        <f aca="false">PI()*POWER((Q111/200),2)</f>
        <v>0</v>
      </c>
      <c r="Y111" s="15" t="n">
        <f aca="false">PI()*POWER((R111/200),2)</f>
        <v>0</v>
      </c>
      <c r="Z111" s="15" t="n">
        <f aca="false">PI()*POWER((S111/200),2)</f>
        <v>0</v>
      </c>
      <c r="AA111" s="15" t="n">
        <f aca="false">PI()*POWER((T111/200),2)</f>
        <v>0</v>
      </c>
      <c r="AB111" s="15" t="n">
        <f aca="false">PI()*POWER((U111/200),2)</f>
        <v>0</v>
      </c>
    </row>
    <row r="112" customFormat="false" ht="15" hidden="false" customHeight="false" outlineLevel="0" collapsed="false">
      <c r="A112" s="2" t="s">
        <v>20</v>
      </c>
      <c r="B112" s="2" t="n">
        <v>1</v>
      </c>
      <c r="C112" s="9" t="n">
        <v>46264</v>
      </c>
      <c r="D112" s="2" t="n">
        <v>4</v>
      </c>
      <c r="E112" s="2" t="s">
        <v>35</v>
      </c>
      <c r="F112" s="2" t="s">
        <v>36</v>
      </c>
      <c r="G112" s="2" t="s">
        <v>37</v>
      </c>
      <c r="H112" s="2" t="s">
        <v>38</v>
      </c>
      <c r="I112" s="2" t="s">
        <v>39</v>
      </c>
      <c r="J112" s="2" t="n">
        <v>10</v>
      </c>
      <c r="K112" s="32" t="s">
        <v>97</v>
      </c>
      <c r="L112" s="15" t="n">
        <f aca="false">SUM(V112:AB112)</f>
        <v>0.111627855565516</v>
      </c>
      <c r="M112" s="15" t="n">
        <f aca="false">MAX(O112:U112)</f>
        <v>37.7</v>
      </c>
      <c r="N112" s="15" t="n">
        <f aca="false">COUNTIF(M112,"&gt;9.9")</f>
        <v>1</v>
      </c>
      <c r="O112" s="15" t="n">
        <v>37.7</v>
      </c>
      <c r="V112" s="15" t="n">
        <f aca="false">PI()*POWER((O112/200),2)</f>
        <v>0.111627855565516</v>
      </c>
      <c r="W112" s="15" t="n">
        <f aca="false">PI()*POWER((P112/200),2)</f>
        <v>0</v>
      </c>
      <c r="X112" s="15" t="n">
        <f aca="false">PI()*POWER((Q112/200),2)</f>
        <v>0</v>
      </c>
      <c r="Y112" s="15" t="n">
        <f aca="false">PI()*POWER((R112/200),2)</f>
        <v>0</v>
      </c>
      <c r="Z112" s="15" t="n">
        <f aca="false">PI()*POWER((S112/200),2)</f>
        <v>0</v>
      </c>
      <c r="AA112" s="15" t="n">
        <f aca="false">PI()*POWER((T112/200),2)</f>
        <v>0</v>
      </c>
      <c r="AB112" s="15" t="n">
        <f aca="false">PI()*POWER((U112/200),2)</f>
        <v>0</v>
      </c>
    </row>
    <row r="113" customFormat="false" ht="15" hidden="false" customHeight="false" outlineLevel="0" collapsed="false">
      <c r="A113" s="2" t="s">
        <v>20</v>
      </c>
      <c r="B113" s="2" t="n">
        <v>1</v>
      </c>
      <c r="C113" s="9" t="n">
        <v>46264</v>
      </c>
      <c r="D113" s="2" t="n">
        <v>4</v>
      </c>
      <c r="E113" s="2" t="s">
        <v>35</v>
      </c>
      <c r="F113" s="2" t="s">
        <v>36</v>
      </c>
      <c r="G113" s="2" t="s">
        <v>37</v>
      </c>
      <c r="H113" s="2" t="s">
        <v>38</v>
      </c>
      <c r="I113" s="2" t="s">
        <v>39</v>
      </c>
      <c r="J113" s="2" t="n">
        <v>4</v>
      </c>
      <c r="K113" s="32" t="s">
        <v>97</v>
      </c>
      <c r="L113" s="15" t="n">
        <f aca="false">SUM(V113:AB113)</f>
        <v>0.159043128087983</v>
      </c>
      <c r="M113" s="15" t="n">
        <f aca="false">MAX(O113:U113)</f>
        <v>45</v>
      </c>
      <c r="N113" s="15" t="n">
        <f aca="false">COUNTIF(M113,"&gt;9.9")</f>
        <v>1</v>
      </c>
      <c r="O113" s="15" t="n">
        <v>45</v>
      </c>
      <c r="V113" s="15" t="n">
        <f aca="false">PI()*POWER((O113/200),2)</f>
        <v>0.159043128087983</v>
      </c>
      <c r="W113" s="15" t="n">
        <f aca="false">PI()*POWER((P113/200),2)</f>
        <v>0</v>
      </c>
      <c r="X113" s="15" t="n">
        <f aca="false">PI()*POWER((Q113/200),2)</f>
        <v>0</v>
      </c>
      <c r="Y113" s="15" t="n">
        <f aca="false">PI()*POWER((R113/200),2)</f>
        <v>0</v>
      </c>
      <c r="Z113" s="15" t="n">
        <f aca="false">PI()*POWER((S113/200),2)</f>
        <v>0</v>
      </c>
      <c r="AA113" s="15" t="n">
        <f aca="false">PI()*POWER((T113/200),2)</f>
        <v>0</v>
      </c>
      <c r="AB113" s="15" t="n">
        <f aca="false">PI()*POWER((U113/200),2)</f>
        <v>0</v>
      </c>
    </row>
    <row r="114" customFormat="false" ht="15" hidden="false" customHeight="false" outlineLevel="0" collapsed="false">
      <c r="A114" s="2" t="s">
        <v>20</v>
      </c>
      <c r="B114" s="2" t="n">
        <v>1</v>
      </c>
      <c r="C114" s="9" t="n">
        <v>46264</v>
      </c>
      <c r="D114" s="2" t="n">
        <v>4</v>
      </c>
      <c r="E114" s="2" t="s">
        <v>35</v>
      </c>
      <c r="F114" s="2" t="s">
        <v>36</v>
      </c>
      <c r="G114" s="2" t="s">
        <v>37</v>
      </c>
      <c r="H114" s="2" t="s">
        <v>38</v>
      </c>
      <c r="I114" s="2" t="s">
        <v>39</v>
      </c>
      <c r="J114" s="2" t="n">
        <v>1</v>
      </c>
      <c r="K114" s="32" t="s">
        <v>97</v>
      </c>
      <c r="L114" s="15" t="n">
        <f aca="false">SUM(V114:AB114)</f>
        <v>0.19166542620286</v>
      </c>
      <c r="M114" s="15" t="n">
        <f aca="false">MAX(O114:U114)</f>
        <v>49.4</v>
      </c>
      <c r="N114" s="15" t="n">
        <f aca="false">COUNTIF(M114,"&gt;9.9")</f>
        <v>1</v>
      </c>
      <c r="O114" s="15" t="n">
        <v>49.4</v>
      </c>
      <c r="V114" s="15" t="n">
        <f aca="false">PI()*POWER((O114/200),2)</f>
        <v>0.19166542620286</v>
      </c>
      <c r="W114" s="15" t="n">
        <f aca="false">PI()*POWER((P114/200),2)</f>
        <v>0</v>
      </c>
      <c r="X114" s="15" t="n">
        <f aca="false">PI()*POWER((Q114/200),2)</f>
        <v>0</v>
      </c>
      <c r="Y114" s="15" t="n">
        <f aca="false">PI()*POWER((R114/200),2)</f>
        <v>0</v>
      </c>
      <c r="Z114" s="15" t="n">
        <f aca="false">PI()*POWER((S114/200),2)</f>
        <v>0</v>
      </c>
      <c r="AA114" s="15" t="n">
        <f aca="false">PI()*POWER((T114/200),2)</f>
        <v>0</v>
      </c>
      <c r="AB114" s="15" t="n">
        <f aca="false">PI()*POWER((U114/200),2)</f>
        <v>0</v>
      </c>
    </row>
    <row r="115" customFormat="false" ht="15" hidden="false" customHeight="false" outlineLevel="0" collapsed="false">
      <c r="A115" s="2" t="s">
        <v>20</v>
      </c>
      <c r="B115" s="2" t="n">
        <v>1</v>
      </c>
      <c r="C115" s="9" t="n">
        <v>46264</v>
      </c>
      <c r="D115" s="2" t="n">
        <v>4</v>
      </c>
      <c r="E115" s="2" t="s">
        <v>35</v>
      </c>
      <c r="F115" s="2" t="s">
        <v>36</v>
      </c>
      <c r="G115" s="2" t="s">
        <v>37</v>
      </c>
      <c r="H115" s="2" t="s">
        <v>38</v>
      </c>
      <c r="I115" s="2" t="s">
        <v>39</v>
      </c>
      <c r="J115" s="2" t="n">
        <v>3</v>
      </c>
      <c r="K115" s="32" t="s">
        <v>97</v>
      </c>
      <c r="L115" s="15" t="n">
        <f aca="false">SUM(V115:AB115)</f>
        <v>0.25071872871055</v>
      </c>
      <c r="M115" s="15" t="n">
        <f aca="false">MAX(O115:U115)</f>
        <v>56.5</v>
      </c>
      <c r="N115" s="15" t="n">
        <f aca="false">COUNTIF(M115,"&gt;9.9")</f>
        <v>1</v>
      </c>
      <c r="O115" s="15" t="n">
        <v>56.5</v>
      </c>
      <c r="V115" s="15" t="n">
        <f aca="false">PI()*POWER((O115/200),2)</f>
        <v>0.25071872871055</v>
      </c>
      <c r="W115" s="15" t="n">
        <f aca="false">PI()*POWER((P115/200),2)</f>
        <v>0</v>
      </c>
      <c r="X115" s="15" t="n">
        <f aca="false">PI()*POWER((Q115/200),2)</f>
        <v>0</v>
      </c>
      <c r="Y115" s="15" t="n">
        <f aca="false">PI()*POWER((R115/200),2)</f>
        <v>0</v>
      </c>
      <c r="Z115" s="15" t="n">
        <f aca="false">PI()*POWER((S115/200),2)</f>
        <v>0</v>
      </c>
      <c r="AA115" s="15" t="n">
        <f aca="false">PI()*POWER((T115/200),2)</f>
        <v>0</v>
      </c>
      <c r="AB115" s="15" t="n">
        <f aca="false">PI()*POWER((U115/200),2)</f>
        <v>0</v>
      </c>
    </row>
    <row r="116" customFormat="false" ht="15" hidden="false" customHeight="false" outlineLevel="0" collapsed="false">
      <c r="A116" s="2" t="s">
        <v>20</v>
      </c>
      <c r="B116" s="2" t="n">
        <v>2</v>
      </c>
      <c r="C116" s="9" t="n">
        <v>46264</v>
      </c>
      <c r="D116" s="2" t="n">
        <v>1</v>
      </c>
      <c r="E116" s="2" t="s">
        <v>85</v>
      </c>
      <c r="F116" s="2" t="s">
        <v>21</v>
      </c>
      <c r="G116" s="2" t="s">
        <v>86</v>
      </c>
      <c r="H116" s="2" t="s">
        <v>23</v>
      </c>
      <c r="I116" s="2" t="s">
        <v>25</v>
      </c>
      <c r="J116" s="2" t="n">
        <v>31</v>
      </c>
      <c r="K116" s="32" t="s">
        <v>141</v>
      </c>
      <c r="L116" s="15" t="n">
        <f aca="false">SUM(V116:AB116)</f>
        <v>0.0962112750161874</v>
      </c>
      <c r="M116" s="15" t="n">
        <f aca="false">MAX(O116:U116)</f>
        <v>35</v>
      </c>
      <c r="N116" s="15" t="n">
        <f aca="false">COUNTIF(M116,"&gt;9.9")</f>
        <v>1</v>
      </c>
      <c r="O116" s="2" t="n">
        <v>35</v>
      </c>
      <c r="V116" s="15" t="n">
        <f aca="false">PI()*POWER((O116/200),2)</f>
        <v>0.0962112750161874</v>
      </c>
      <c r="W116" s="15" t="n">
        <f aca="false">PI()*POWER((P116/200),2)</f>
        <v>0</v>
      </c>
      <c r="X116" s="15" t="n">
        <f aca="false">PI()*POWER((Q116/200),2)</f>
        <v>0</v>
      </c>
      <c r="Y116" s="15" t="n">
        <f aca="false">PI()*POWER((R116/200),2)</f>
        <v>0</v>
      </c>
      <c r="Z116" s="15" t="n">
        <f aca="false">PI()*POWER((S116/200),2)</f>
        <v>0</v>
      </c>
      <c r="AA116" s="15" t="n">
        <f aca="false">PI()*POWER((T116/200),2)</f>
        <v>0</v>
      </c>
      <c r="AB116" s="15" t="n">
        <f aca="false">PI()*POWER((U116/200),2)</f>
        <v>0</v>
      </c>
    </row>
    <row r="117" customFormat="false" ht="15" hidden="false" customHeight="false" outlineLevel="0" collapsed="false">
      <c r="A117" s="2" t="s">
        <v>20</v>
      </c>
      <c r="B117" s="2" t="n">
        <v>2</v>
      </c>
      <c r="C117" s="9" t="n">
        <v>46264</v>
      </c>
      <c r="D117" s="2" t="n">
        <v>1</v>
      </c>
      <c r="E117" s="2" t="s">
        <v>85</v>
      </c>
      <c r="F117" s="2" t="s">
        <v>21</v>
      </c>
      <c r="G117" s="2" t="s">
        <v>86</v>
      </c>
      <c r="H117" s="2" t="s">
        <v>23</v>
      </c>
      <c r="I117" s="2" t="s">
        <v>25</v>
      </c>
      <c r="J117" s="2" t="n">
        <v>30</v>
      </c>
      <c r="K117" s="32" t="s">
        <v>141</v>
      </c>
      <c r="L117" s="15" t="n">
        <f aca="false">SUM(V117:AB117)</f>
        <v>0.723822947387088</v>
      </c>
      <c r="M117" s="15" t="n">
        <f aca="false">MAX(O117:U117)</f>
        <v>96</v>
      </c>
      <c r="N117" s="15" t="n">
        <f aca="false">COUNTIF(M117,"&gt;9.9")</f>
        <v>1</v>
      </c>
      <c r="O117" s="2" t="n">
        <v>96</v>
      </c>
      <c r="V117" s="15" t="n">
        <f aca="false">PI()*POWER((O117/200),2)</f>
        <v>0.723822947387088</v>
      </c>
      <c r="W117" s="15" t="n">
        <f aca="false">PI()*POWER((P117/200),2)</f>
        <v>0</v>
      </c>
      <c r="X117" s="15" t="n">
        <f aca="false">PI()*POWER((Q117/200),2)</f>
        <v>0</v>
      </c>
      <c r="Y117" s="15" t="n">
        <f aca="false">PI()*POWER((R117/200),2)</f>
        <v>0</v>
      </c>
      <c r="Z117" s="15" t="n">
        <f aca="false">PI()*POWER((S117/200),2)</f>
        <v>0</v>
      </c>
      <c r="AA117" s="15" t="n">
        <f aca="false">PI()*POWER((T117/200),2)</f>
        <v>0</v>
      </c>
      <c r="AB117" s="15" t="n">
        <f aca="false">PI()*POWER((U117/200),2)</f>
        <v>0</v>
      </c>
    </row>
    <row r="118" customFormat="false" ht="15" hidden="false" customHeight="false" outlineLevel="0" collapsed="false">
      <c r="A118" s="2" t="s">
        <v>20</v>
      </c>
      <c r="B118" s="2" t="n">
        <v>2</v>
      </c>
      <c r="C118" s="9" t="n">
        <v>46264</v>
      </c>
      <c r="D118" s="2" t="n">
        <v>1</v>
      </c>
      <c r="E118" s="2" t="s">
        <v>85</v>
      </c>
      <c r="F118" s="2" t="s">
        <v>21</v>
      </c>
      <c r="G118" s="2" t="s">
        <v>86</v>
      </c>
      <c r="H118" s="2" t="s">
        <v>23</v>
      </c>
      <c r="I118" s="2" t="s">
        <v>25</v>
      </c>
      <c r="J118" s="2" t="n">
        <v>36</v>
      </c>
      <c r="K118" s="32" t="s">
        <v>102</v>
      </c>
      <c r="L118" s="15" t="n">
        <f aca="false">SUM(V118:AB118)</f>
        <v>0.000706858347057703</v>
      </c>
      <c r="M118" s="15" t="n">
        <f aca="false">MAX(O118:U118)</f>
        <v>3</v>
      </c>
      <c r="N118" s="15" t="n">
        <f aca="false">COUNTIF(M118,"&gt;9.9")</f>
        <v>0</v>
      </c>
      <c r="O118" s="2" t="n">
        <v>3</v>
      </c>
      <c r="V118" s="15" t="n">
        <f aca="false">PI()*POWER((O118/200),2)</f>
        <v>0.000706858347057703</v>
      </c>
      <c r="W118" s="15" t="n">
        <f aca="false">PI()*POWER((P118/200),2)</f>
        <v>0</v>
      </c>
      <c r="X118" s="15" t="n">
        <f aca="false">PI()*POWER((Q118/200),2)</f>
        <v>0</v>
      </c>
      <c r="Y118" s="15" t="n">
        <f aca="false">PI()*POWER((R118/200),2)</f>
        <v>0</v>
      </c>
      <c r="Z118" s="15" t="n">
        <f aca="false">PI()*POWER((S118/200),2)</f>
        <v>0</v>
      </c>
      <c r="AA118" s="15" t="n">
        <f aca="false">PI()*POWER((T118/200),2)</f>
        <v>0</v>
      </c>
      <c r="AB118" s="15" t="n">
        <f aca="false">PI()*POWER((U118/200),2)</f>
        <v>0</v>
      </c>
    </row>
    <row r="119" customFormat="false" ht="15" hidden="false" customHeight="false" outlineLevel="0" collapsed="false">
      <c r="A119" s="2" t="s">
        <v>20</v>
      </c>
      <c r="B119" s="2" t="n">
        <v>2</v>
      </c>
      <c r="C119" s="9" t="n">
        <v>46264</v>
      </c>
      <c r="D119" s="2" t="n">
        <v>1</v>
      </c>
      <c r="E119" s="2" t="s">
        <v>85</v>
      </c>
      <c r="F119" s="2" t="s">
        <v>21</v>
      </c>
      <c r="G119" s="2" t="s">
        <v>86</v>
      </c>
      <c r="H119" s="2" t="s">
        <v>23</v>
      </c>
      <c r="I119" s="2" t="s">
        <v>25</v>
      </c>
      <c r="J119" s="2" t="n">
        <v>4</v>
      </c>
      <c r="K119" s="32" t="s">
        <v>102</v>
      </c>
      <c r="L119" s="15" t="n">
        <f aca="false">SUM(V119:AB119)</f>
        <v>0.00282743338823081</v>
      </c>
      <c r="M119" s="15" t="n">
        <f aca="false">MAX(O119:U119)</f>
        <v>6</v>
      </c>
      <c r="N119" s="15" t="n">
        <f aca="false">COUNTIF(M119,"&gt;9.9")</f>
        <v>0</v>
      </c>
      <c r="O119" s="2" t="n">
        <v>6</v>
      </c>
      <c r="V119" s="15" t="n">
        <f aca="false">PI()*POWER((O119/200),2)</f>
        <v>0.00282743338823081</v>
      </c>
      <c r="W119" s="15" t="n">
        <f aca="false">PI()*POWER((P119/200),2)</f>
        <v>0</v>
      </c>
      <c r="X119" s="15" t="n">
        <f aca="false">PI()*POWER((Q119/200),2)</f>
        <v>0</v>
      </c>
      <c r="Y119" s="15" t="n">
        <f aca="false">PI()*POWER((R119/200),2)</f>
        <v>0</v>
      </c>
      <c r="Z119" s="15" t="n">
        <f aca="false">PI()*POWER((S119/200),2)</f>
        <v>0</v>
      </c>
      <c r="AA119" s="15" t="n">
        <f aca="false">PI()*POWER((T119/200),2)</f>
        <v>0</v>
      </c>
      <c r="AB119" s="15" t="n">
        <f aca="false">PI()*POWER((U119/200),2)</f>
        <v>0</v>
      </c>
    </row>
    <row r="120" customFormat="false" ht="15" hidden="false" customHeight="false" outlineLevel="0" collapsed="false">
      <c r="A120" s="2" t="s">
        <v>20</v>
      </c>
      <c r="B120" s="2" t="n">
        <v>2</v>
      </c>
      <c r="C120" s="9" t="n">
        <v>46264</v>
      </c>
      <c r="D120" s="2" t="n">
        <v>1</v>
      </c>
      <c r="E120" s="2" t="s">
        <v>85</v>
      </c>
      <c r="F120" s="2" t="s">
        <v>21</v>
      </c>
      <c r="G120" s="2" t="s">
        <v>86</v>
      </c>
      <c r="H120" s="2" t="s">
        <v>23</v>
      </c>
      <c r="I120" s="2" t="s">
        <v>25</v>
      </c>
      <c r="J120" s="2" t="n">
        <v>3</v>
      </c>
      <c r="K120" s="32" t="s">
        <v>102</v>
      </c>
      <c r="L120" s="15" t="n">
        <f aca="false">SUM(V120:AB120)</f>
        <v>0.0038484510006475</v>
      </c>
      <c r="M120" s="15" t="n">
        <f aca="false">MAX(O120:U120)</f>
        <v>7</v>
      </c>
      <c r="N120" s="15" t="n">
        <f aca="false">COUNTIF(M120,"&gt;9.9")</f>
        <v>0</v>
      </c>
      <c r="O120" s="2" t="n">
        <v>7</v>
      </c>
      <c r="V120" s="15" t="n">
        <f aca="false">PI()*POWER((O120/200),2)</f>
        <v>0.0038484510006475</v>
      </c>
      <c r="W120" s="15" t="n">
        <f aca="false">PI()*POWER((P120/200),2)</f>
        <v>0</v>
      </c>
      <c r="X120" s="15" t="n">
        <f aca="false">PI()*POWER((Q120/200),2)</f>
        <v>0</v>
      </c>
      <c r="Y120" s="15" t="n">
        <f aca="false">PI()*POWER((R120/200),2)</f>
        <v>0</v>
      </c>
      <c r="Z120" s="15" t="n">
        <f aca="false">PI()*POWER((S120/200),2)</f>
        <v>0</v>
      </c>
      <c r="AA120" s="15" t="n">
        <f aca="false">PI()*POWER((T120/200),2)</f>
        <v>0</v>
      </c>
      <c r="AB120" s="15" t="n">
        <f aca="false">PI()*POWER((U120/200),2)</f>
        <v>0</v>
      </c>
    </row>
    <row r="121" customFormat="false" ht="15" hidden="false" customHeight="false" outlineLevel="0" collapsed="false">
      <c r="A121" s="2" t="s">
        <v>20</v>
      </c>
      <c r="B121" s="2" t="n">
        <v>2</v>
      </c>
      <c r="C121" s="9" t="n">
        <v>46264</v>
      </c>
      <c r="D121" s="2" t="n">
        <v>1</v>
      </c>
      <c r="E121" s="2" t="s">
        <v>85</v>
      </c>
      <c r="F121" s="2" t="s">
        <v>21</v>
      </c>
      <c r="G121" s="2" t="s">
        <v>86</v>
      </c>
      <c r="H121" s="2" t="s">
        <v>23</v>
      </c>
      <c r="I121" s="2" t="s">
        <v>25</v>
      </c>
      <c r="J121" s="2" t="n">
        <v>37</v>
      </c>
      <c r="K121" s="32" t="s">
        <v>102</v>
      </c>
      <c r="L121" s="15" t="n">
        <f aca="false">SUM(V121:AB121)</f>
        <v>0.0038484510006475</v>
      </c>
      <c r="M121" s="15" t="n">
        <f aca="false">MAX(O121:U121)</f>
        <v>7</v>
      </c>
      <c r="N121" s="15" t="n">
        <f aca="false">COUNTIF(M121,"&gt;9.9")</f>
        <v>0</v>
      </c>
      <c r="O121" s="2" t="n">
        <v>7</v>
      </c>
      <c r="V121" s="15" t="n">
        <f aca="false">PI()*POWER((O121/200),2)</f>
        <v>0.0038484510006475</v>
      </c>
      <c r="W121" s="15" t="n">
        <f aca="false">PI()*POWER((P121/200),2)</f>
        <v>0</v>
      </c>
      <c r="X121" s="15" t="n">
        <f aca="false">PI()*POWER((Q121/200),2)</f>
        <v>0</v>
      </c>
      <c r="Y121" s="15" t="n">
        <f aca="false">PI()*POWER((R121/200),2)</f>
        <v>0</v>
      </c>
      <c r="Z121" s="15" t="n">
        <f aca="false">PI()*POWER((S121/200),2)</f>
        <v>0</v>
      </c>
      <c r="AA121" s="15" t="n">
        <f aca="false">PI()*POWER((T121/200),2)</f>
        <v>0</v>
      </c>
      <c r="AB121" s="15" t="n">
        <f aca="false">PI()*POWER((U121/200),2)</f>
        <v>0</v>
      </c>
    </row>
    <row r="122" customFormat="false" ht="15" hidden="false" customHeight="false" outlineLevel="0" collapsed="false">
      <c r="A122" s="2" t="s">
        <v>20</v>
      </c>
      <c r="B122" s="2" t="n">
        <v>2</v>
      </c>
      <c r="C122" s="9" t="n">
        <v>46264</v>
      </c>
      <c r="D122" s="2" t="n">
        <v>1</v>
      </c>
      <c r="E122" s="2" t="s">
        <v>85</v>
      </c>
      <c r="F122" s="2" t="s">
        <v>21</v>
      </c>
      <c r="G122" s="2" t="s">
        <v>86</v>
      </c>
      <c r="H122" s="2" t="s">
        <v>23</v>
      </c>
      <c r="I122" s="2" t="s">
        <v>25</v>
      </c>
      <c r="J122" s="2" t="n">
        <v>16</v>
      </c>
      <c r="K122" s="32" t="s">
        <v>102</v>
      </c>
      <c r="L122" s="15" t="n">
        <f aca="false">SUM(V122:AB122)</f>
        <v>0.395919214168654</v>
      </c>
      <c r="M122" s="15" t="n">
        <f aca="false">MAX(O122:U122)</f>
        <v>71</v>
      </c>
      <c r="N122" s="15" t="n">
        <f aca="false">COUNTIF(M122,"&gt;9.9")</f>
        <v>1</v>
      </c>
      <c r="O122" s="2" t="n">
        <v>71</v>
      </c>
      <c r="V122" s="15" t="n">
        <f aca="false">PI()*POWER((O122/200),2)</f>
        <v>0.395919214168654</v>
      </c>
      <c r="W122" s="15" t="n">
        <f aca="false">PI()*POWER((P122/200),2)</f>
        <v>0</v>
      </c>
      <c r="X122" s="15" t="n">
        <f aca="false">PI()*POWER((Q122/200),2)</f>
        <v>0</v>
      </c>
      <c r="Y122" s="15" t="n">
        <f aca="false">PI()*POWER((R122/200),2)</f>
        <v>0</v>
      </c>
      <c r="Z122" s="15" t="n">
        <f aca="false">PI()*POWER((S122/200),2)</f>
        <v>0</v>
      </c>
      <c r="AA122" s="15" t="n">
        <f aca="false">PI()*POWER((T122/200),2)</f>
        <v>0</v>
      </c>
      <c r="AB122" s="15" t="n">
        <f aca="false">PI()*POWER((U122/200),2)</f>
        <v>0</v>
      </c>
    </row>
    <row r="123" customFormat="false" ht="15" hidden="false" customHeight="false" outlineLevel="0" collapsed="false">
      <c r="A123" s="2" t="s">
        <v>20</v>
      </c>
      <c r="B123" s="2" t="n">
        <v>2</v>
      </c>
      <c r="C123" s="9" t="n">
        <v>46264</v>
      </c>
      <c r="D123" s="2" t="n">
        <v>1</v>
      </c>
      <c r="E123" s="2" t="s">
        <v>85</v>
      </c>
      <c r="F123" s="2" t="s">
        <v>21</v>
      </c>
      <c r="G123" s="2" t="s">
        <v>86</v>
      </c>
      <c r="H123" s="2" t="s">
        <v>23</v>
      </c>
      <c r="I123" s="2" t="s">
        <v>25</v>
      </c>
      <c r="J123" s="2" t="n">
        <v>17</v>
      </c>
      <c r="K123" s="32" t="s">
        <v>102</v>
      </c>
      <c r="L123" s="15" t="n">
        <f aca="false">SUM(V123:AB123)</f>
        <v>0.833228911548353</v>
      </c>
      <c r="M123" s="15" t="n">
        <f aca="false">MAX(O123:U123)</f>
        <v>103</v>
      </c>
      <c r="N123" s="15" t="n">
        <f aca="false">COUNTIF(M123,"&gt;9.9")</f>
        <v>1</v>
      </c>
      <c r="O123" s="2" t="n">
        <v>103</v>
      </c>
      <c r="V123" s="15" t="n">
        <f aca="false">PI()*POWER((O123/200),2)</f>
        <v>0.833228911548353</v>
      </c>
      <c r="W123" s="15" t="n">
        <f aca="false">PI()*POWER((P123/200),2)</f>
        <v>0</v>
      </c>
      <c r="X123" s="15" t="n">
        <f aca="false">PI()*POWER((Q123/200),2)</f>
        <v>0</v>
      </c>
      <c r="Y123" s="15" t="n">
        <f aca="false">PI()*POWER((R123/200),2)</f>
        <v>0</v>
      </c>
      <c r="Z123" s="15" t="n">
        <f aca="false">PI()*POWER((S123/200),2)</f>
        <v>0</v>
      </c>
      <c r="AA123" s="15" t="n">
        <f aca="false">PI()*POWER((T123/200),2)</f>
        <v>0</v>
      </c>
      <c r="AB123" s="15" t="n">
        <f aca="false">PI()*POWER((U123/200),2)</f>
        <v>0</v>
      </c>
    </row>
    <row r="124" customFormat="false" ht="15" hidden="false" customHeight="false" outlineLevel="0" collapsed="false">
      <c r="A124" s="2" t="s">
        <v>20</v>
      </c>
      <c r="B124" s="2" t="n">
        <v>2</v>
      </c>
      <c r="C124" s="9" t="n">
        <v>46264</v>
      </c>
      <c r="D124" s="2" t="n">
        <v>1</v>
      </c>
      <c r="E124" s="2" t="s">
        <v>85</v>
      </c>
      <c r="F124" s="2" t="s">
        <v>21</v>
      </c>
      <c r="G124" s="2" t="s">
        <v>86</v>
      </c>
      <c r="H124" s="2" t="s">
        <v>23</v>
      </c>
      <c r="I124" s="2" t="s">
        <v>25</v>
      </c>
      <c r="J124" s="2" t="n">
        <v>27</v>
      </c>
      <c r="K124" s="32" t="s">
        <v>103</v>
      </c>
      <c r="L124" s="15" t="n">
        <f aca="false">SUM(V124:AB124)</f>
        <v>0.000706858347057703</v>
      </c>
      <c r="M124" s="15" t="n">
        <f aca="false">MAX(O124:U124)</f>
        <v>3</v>
      </c>
      <c r="N124" s="15" t="n">
        <f aca="false">COUNTIF(M124,"&gt;9.9")</f>
        <v>0</v>
      </c>
      <c r="O124" s="2" t="n">
        <v>3</v>
      </c>
      <c r="V124" s="15" t="n">
        <f aca="false">PI()*POWER((O124/200),2)</f>
        <v>0.000706858347057703</v>
      </c>
      <c r="W124" s="15" t="n">
        <f aca="false">PI()*POWER((P124/200),2)</f>
        <v>0</v>
      </c>
      <c r="X124" s="15" t="n">
        <f aca="false">PI()*POWER((Q124/200),2)</f>
        <v>0</v>
      </c>
      <c r="Y124" s="15" t="n">
        <f aca="false">PI()*POWER((R124/200),2)</f>
        <v>0</v>
      </c>
      <c r="Z124" s="15" t="n">
        <f aca="false">PI()*POWER((S124/200),2)</f>
        <v>0</v>
      </c>
      <c r="AA124" s="15" t="n">
        <f aca="false">PI()*POWER((T124/200),2)</f>
        <v>0</v>
      </c>
      <c r="AB124" s="15" t="n">
        <f aca="false">PI()*POWER((U124/200),2)</f>
        <v>0</v>
      </c>
    </row>
    <row r="125" customFormat="false" ht="15" hidden="false" customHeight="false" outlineLevel="0" collapsed="false">
      <c r="A125" s="2" t="s">
        <v>20</v>
      </c>
      <c r="B125" s="2" t="n">
        <v>2</v>
      </c>
      <c r="C125" s="9" t="n">
        <v>46264</v>
      </c>
      <c r="D125" s="2" t="n">
        <v>1</v>
      </c>
      <c r="E125" s="2" t="s">
        <v>85</v>
      </c>
      <c r="F125" s="2" t="s">
        <v>21</v>
      </c>
      <c r="G125" s="2" t="s">
        <v>86</v>
      </c>
      <c r="H125" s="2" t="s">
        <v>23</v>
      </c>
      <c r="I125" s="2" t="s">
        <v>25</v>
      </c>
      <c r="J125" s="2" t="n">
        <v>28</v>
      </c>
      <c r="K125" s="32" t="s">
        <v>103</v>
      </c>
      <c r="L125" s="15" t="n">
        <f aca="false">SUM(V125:AB125)</f>
        <v>0.000706858347057703</v>
      </c>
      <c r="M125" s="15" t="n">
        <f aca="false">MAX(O125:U125)</f>
        <v>3</v>
      </c>
      <c r="N125" s="15" t="n">
        <f aca="false">COUNTIF(M125,"&gt;9.9")</f>
        <v>0</v>
      </c>
      <c r="O125" s="2" t="n">
        <v>3</v>
      </c>
      <c r="V125" s="15" t="n">
        <f aca="false">PI()*POWER((O125/200),2)</f>
        <v>0.000706858347057703</v>
      </c>
      <c r="W125" s="15" t="n">
        <f aca="false">PI()*POWER((P125/200),2)</f>
        <v>0</v>
      </c>
      <c r="X125" s="15" t="n">
        <f aca="false">PI()*POWER((Q125/200),2)</f>
        <v>0</v>
      </c>
      <c r="Y125" s="15" t="n">
        <f aca="false">PI()*POWER((R125/200),2)</f>
        <v>0</v>
      </c>
      <c r="Z125" s="15" t="n">
        <f aca="false">PI()*POWER((S125/200),2)</f>
        <v>0</v>
      </c>
      <c r="AA125" s="15" t="n">
        <f aca="false">PI()*POWER((T125/200),2)</f>
        <v>0</v>
      </c>
      <c r="AB125" s="15" t="n">
        <f aca="false">PI()*POWER((U125/200),2)</f>
        <v>0</v>
      </c>
    </row>
    <row r="126" customFormat="false" ht="15" hidden="false" customHeight="false" outlineLevel="0" collapsed="false">
      <c r="A126" s="2" t="s">
        <v>20</v>
      </c>
      <c r="B126" s="2" t="n">
        <v>2</v>
      </c>
      <c r="C126" s="9" t="n">
        <v>46264</v>
      </c>
      <c r="D126" s="2" t="n">
        <v>1</v>
      </c>
      <c r="E126" s="2" t="s">
        <v>85</v>
      </c>
      <c r="F126" s="2" t="s">
        <v>21</v>
      </c>
      <c r="G126" s="2" t="s">
        <v>86</v>
      </c>
      <c r="H126" s="2" t="s">
        <v>23</v>
      </c>
      <c r="I126" s="2" t="s">
        <v>25</v>
      </c>
      <c r="J126" s="2" t="n">
        <v>8</v>
      </c>
      <c r="K126" s="32" t="s">
        <v>103</v>
      </c>
      <c r="L126" s="15" t="n">
        <f aca="false">SUM(V126:AB126)</f>
        <v>0.00125663706143592</v>
      </c>
      <c r="M126" s="15" t="n">
        <f aca="false">MAX(O126:U126)</f>
        <v>4</v>
      </c>
      <c r="N126" s="15" t="n">
        <f aca="false">COUNTIF(M126,"&gt;9.9")</f>
        <v>0</v>
      </c>
      <c r="O126" s="2" t="n">
        <v>4</v>
      </c>
      <c r="V126" s="15" t="n">
        <f aca="false">PI()*POWER((O126/200),2)</f>
        <v>0.00125663706143592</v>
      </c>
      <c r="W126" s="15" t="n">
        <f aca="false">PI()*POWER((P126/200),2)</f>
        <v>0</v>
      </c>
      <c r="X126" s="15" t="n">
        <f aca="false">PI()*POWER((Q126/200),2)</f>
        <v>0</v>
      </c>
      <c r="Y126" s="15" t="n">
        <f aca="false">PI()*POWER((R126/200),2)</f>
        <v>0</v>
      </c>
      <c r="Z126" s="15" t="n">
        <f aca="false">PI()*POWER((S126/200),2)</f>
        <v>0</v>
      </c>
      <c r="AA126" s="15" t="n">
        <f aca="false">PI()*POWER((T126/200),2)</f>
        <v>0</v>
      </c>
      <c r="AB126" s="15" t="n">
        <f aca="false">PI()*POWER((U126/200),2)</f>
        <v>0</v>
      </c>
    </row>
    <row r="127" customFormat="false" ht="15" hidden="false" customHeight="false" outlineLevel="0" collapsed="false">
      <c r="A127" s="2" t="s">
        <v>20</v>
      </c>
      <c r="B127" s="2" t="n">
        <v>2</v>
      </c>
      <c r="C127" s="9" t="n">
        <v>46264</v>
      </c>
      <c r="D127" s="2" t="n">
        <v>1</v>
      </c>
      <c r="E127" s="2" t="s">
        <v>85</v>
      </c>
      <c r="F127" s="2" t="s">
        <v>21</v>
      </c>
      <c r="G127" s="2" t="s">
        <v>86</v>
      </c>
      <c r="H127" s="2" t="s">
        <v>23</v>
      </c>
      <c r="I127" s="2" t="s">
        <v>25</v>
      </c>
      <c r="J127" s="2" t="n">
        <v>11</v>
      </c>
      <c r="K127" s="32" t="s">
        <v>103</v>
      </c>
      <c r="L127" s="15" t="n">
        <f aca="false">SUM(V127:AB127)</f>
        <v>0.00125663706143592</v>
      </c>
      <c r="M127" s="15" t="n">
        <f aca="false">MAX(O127:U127)</f>
        <v>4</v>
      </c>
      <c r="N127" s="15" t="n">
        <f aca="false">COUNTIF(M127,"&gt;9.9")</f>
        <v>0</v>
      </c>
      <c r="O127" s="2" t="n">
        <v>4</v>
      </c>
      <c r="V127" s="15" t="n">
        <f aca="false">PI()*POWER((O127/200),2)</f>
        <v>0.00125663706143592</v>
      </c>
      <c r="W127" s="15" t="n">
        <f aca="false">PI()*POWER((P127/200),2)</f>
        <v>0</v>
      </c>
      <c r="X127" s="15" t="n">
        <f aca="false">PI()*POWER((Q127/200),2)</f>
        <v>0</v>
      </c>
      <c r="Y127" s="15" t="n">
        <f aca="false">PI()*POWER((R127/200),2)</f>
        <v>0</v>
      </c>
      <c r="Z127" s="15" t="n">
        <f aca="false">PI()*POWER((S127/200),2)</f>
        <v>0</v>
      </c>
      <c r="AA127" s="15" t="n">
        <f aca="false">PI()*POWER((T127/200),2)</f>
        <v>0</v>
      </c>
      <c r="AB127" s="15" t="n">
        <f aca="false">PI()*POWER((U127/200),2)</f>
        <v>0</v>
      </c>
    </row>
    <row r="128" customFormat="false" ht="15" hidden="false" customHeight="false" outlineLevel="0" collapsed="false">
      <c r="A128" s="2" t="s">
        <v>20</v>
      </c>
      <c r="B128" s="2" t="n">
        <v>2</v>
      </c>
      <c r="C128" s="9" t="n">
        <v>46264</v>
      </c>
      <c r="D128" s="2" t="n">
        <v>1</v>
      </c>
      <c r="E128" s="2" t="s">
        <v>85</v>
      </c>
      <c r="F128" s="2" t="s">
        <v>21</v>
      </c>
      <c r="G128" s="2" t="s">
        <v>86</v>
      </c>
      <c r="H128" s="2" t="s">
        <v>23</v>
      </c>
      <c r="I128" s="2" t="s">
        <v>25</v>
      </c>
      <c r="J128" s="2" t="n">
        <v>23</v>
      </c>
      <c r="K128" s="32" t="s">
        <v>103</v>
      </c>
      <c r="L128" s="15" t="n">
        <f aca="false">SUM(V128:AB128)</f>
        <v>0.00125663706143592</v>
      </c>
      <c r="M128" s="15" t="n">
        <f aca="false">MAX(O128:U128)</f>
        <v>4</v>
      </c>
      <c r="N128" s="15" t="n">
        <f aca="false">COUNTIF(M128,"&gt;9.9")</f>
        <v>0</v>
      </c>
      <c r="O128" s="2" t="n">
        <v>4</v>
      </c>
      <c r="V128" s="15" t="n">
        <f aca="false">PI()*POWER((O128/200),2)</f>
        <v>0.00125663706143592</v>
      </c>
      <c r="W128" s="15" t="n">
        <f aca="false">PI()*POWER((P128/200),2)</f>
        <v>0</v>
      </c>
      <c r="X128" s="15" t="n">
        <f aca="false">PI()*POWER((Q128/200),2)</f>
        <v>0</v>
      </c>
      <c r="Y128" s="15" t="n">
        <f aca="false">PI()*POWER((R128/200),2)</f>
        <v>0</v>
      </c>
      <c r="Z128" s="15" t="n">
        <f aca="false">PI()*POWER((S128/200),2)</f>
        <v>0</v>
      </c>
      <c r="AA128" s="15" t="n">
        <f aca="false">PI()*POWER((T128/200),2)</f>
        <v>0</v>
      </c>
      <c r="AB128" s="15" t="n">
        <f aca="false">PI()*POWER((U128/200),2)</f>
        <v>0</v>
      </c>
    </row>
    <row r="129" customFormat="false" ht="15" hidden="false" customHeight="false" outlineLevel="0" collapsed="false">
      <c r="A129" s="2" t="s">
        <v>20</v>
      </c>
      <c r="B129" s="2" t="n">
        <v>2</v>
      </c>
      <c r="C129" s="9" t="n">
        <v>46264</v>
      </c>
      <c r="D129" s="2" t="n">
        <v>1</v>
      </c>
      <c r="E129" s="2" t="s">
        <v>85</v>
      </c>
      <c r="F129" s="2" t="s">
        <v>21</v>
      </c>
      <c r="G129" s="2" t="s">
        <v>86</v>
      </c>
      <c r="H129" s="2" t="s">
        <v>23</v>
      </c>
      <c r="I129" s="2" t="s">
        <v>25</v>
      </c>
      <c r="J129" s="2" t="n">
        <v>25</v>
      </c>
      <c r="K129" s="32" t="s">
        <v>103</v>
      </c>
      <c r="L129" s="15" t="n">
        <f aca="false">SUM(V129:AB129)</f>
        <v>0.00125663706143592</v>
      </c>
      <c r="M129" s="15" t="n">
        <f aca="false">MAX(O129:U129)</f>
        <v>4</v>
      </c>
      <c r="N129" s="15" t="n">
        <f aca="false">COUNTIF(M129,"&gt;9.9")</f>
        <v>0</v>
      </c>
      <c r="O129" s="2" t="n">
        <v>4</v>
      </c>
      <c r="V129" s="15" t="n">
        <f aca="false">PI()*POWER((O129/200),2)</f>
        <v>0.00125663706143592</v>
      </c>
      <c r="W129" s="15" t="n">
        <f aca="false">PI()*POWER((P129/200),2)</f>
        <v>0</v>
      </c>
      <c r="X129" s="15" t="n">
        <f aca="false">PI()*POWER((Q129/200),2)</f>
        <v>0</v>
      </c>
      <c r="Y129" s="15" t="n">
        <f aca="false">PI()*POWER((R129/200),2)</f>
        <v>0</v>
      </c>
      <c r="Z129" s="15" t="n">
        <f aca="false">PI()*POWER((S129/200),2)</f>
        <v>0</v>
      </c>
      <c r="AA129" s="15" t="n">
        <f aca="false">PI()*POWER((T129/200),2)</f>
        <v>0</v>
      </c>
      <c r="AB129" s="15" t="n">
        <f aca="false">PI()*POWER((U129/200),2)</f>
        <v>0</v>
      </c>
    </row>
    <row r="130" customFormat="false" ht="15" hidden="false" customHeight="false" outlineLevel="0" collapsed="false">
      <c r="A130" s="2" t="s">
        <v>20</v>
      </c>
      <c r="B130" s="2" t="n">
        <v>2</v>
      </c>
      <c r="C130" s="9" t="n">
        <v>46264</v>
      </c>
      <c r="D130" s="2" t="n">
        <v>1</v>
      </c>
      <c r="E130" s="2" t="s">
        <v>85</v>
      </c>
      <c r="F130" s="2" t="s">
        <v>21</v>
      </c>
      <c r="G130" s="2" t="s">
        <v>86</v>
      </c>
      <c r="H130" s="2" t="s">
        <v>23</v>
      </c>
      <c r="I130" s="2" t="s">
        <v>25</v>
      </c>
      <c r="J130" s="2" t="n">
        <v>26</v>
      </c>
      <c r="K130" s="32" t="s">
        <v>103</v>
      </c>
      <c r="L130" s="15" t="n">
        <f aca="false">SUM(V130:AB130)</f>
        <v>0.00125663706143592</v>
      </c>
      <c r="M130" s="15" t="n">
        <f aca="false">MAX(O130:U130)</f>
        <v>4</v>
      </c>
      <c r="N130" s="15" t="n">
        <f aca="false">COUNTIF(M130,"&gt;9.9")</f>
        <v>0</v>
      </c>
      <c r="O130" s="2" t="n">
        <v>4</v>
      </c>
      <c r="V130" s="15" t="n">
        <f aca="false">PI()*POWER((O130/200),2)</f>
        <v>0.00125663706143592</v>
      </c>
      <c r="W130" s="15" t="n">
        <f aca="false">PI()*POWER((P130/200),2)</f>
        <v>0</v>
      </c>
      <c r="X130" s="15" t="n">
        <f aca="false">PI()*POWER((Q130/200),2)</f>
        <v>0</v>
      </c>
      <c r="Y130" s="15" t="n">
        <f aca="false">PI()*POWER((R130/200),2)</f>
        <v>0</v>
      </c>
      <c r="Z130" s="15" t="n">
        <f aca="false">PI()*POWER((S130/200),2)</f>
        <v>0</v>
      </c>
      <c r="AA130" s="15" t="n">
        <f aca="false">PI()*POWER((T130/200),2)</f>
        <v>0</v>
      </c>
      <c r="AB130" s="15" t="n">
        <f aca="false">PI()*POWER((U130/200),2)</f>
        <v>0</v>
      </c>
    </row>
    <row r="131" customFormat="false" ht="15" hidden="false" customHeight="false" outlineLevel="0" collapsed="false">
      <c r="A131" s="2" t="s">
        <v>20</v>
      </c>
      <c r="B131" s="2" t="n">
        <v>2</v>
      </c>
      <c r="C131" s="9" t="n">
        <v>46264</v>
      </c>
      <c r="D131" s="2" t="n">
        <v>1</v>
      </c>
      <c r="E131" s="2" t="s">
        <v>85</v>
      </c>
      <c r="F131" s="2" t="s">
        <v>21</v>
      </c>
      <c r="G131" s="2" t="s">
        <v>86</v>
      </c>
      <c r="H131" s="2" t="s">
        <v>23</v>
      </c>
      <c r="I131" s="2" t="s">
        <v>25</v>
      </c>
      <c r="J131" s="2" t="n">
        <v>34</v>
      </c>
      <c r="K131" s="32" t="s">
        <v>103</v>
      </c>
      <c r="L131" s="15" t="n">
        <f aca="false">SUM(V131:AB131)</f>
        <v>0.00125663706143592</v>
      </c>
      <c r="M131" s="15" t="n">
        <f aca="false">MAX(O131:U131)</f>
        <v>4</v>
      </c>
      <c r="N131" s="15" t="n">
        <f aca="false">COUNTIF(M131,"&gt;9.9")</f>
        <v>0</v>
      </c>
      <c r="O131" s="2" t="n">
        <v>4</v>
      </c>
      <c r="V131" s="15" t="n">
        <f aca="false">PI()*POWER((O131/200),2)</f>
        <v>0.00125663706143592</v>
      </c>
      <c r="W131" s="15" t="n">
        <f aca="false">PI()*POWER((P131/200),2)</f>
        <v>0</v>
      </c>
      <c r="X131" s="15" t="n">
        <f aca="false">PI()*POWER((Q131/200),2)</f>
        <v>0</v>
      </c>
      <c r="Y131" s="15" t="n">
        <f aca="false">PI()*POWER((R131/200),2)</f>
        <v>0</v>
      </c>
      <c r="Z131" s="15" t="n">
        <f aca="false">PI()*POWER((S131/200),2)</f>
        <v>0</v>
      </c>
      <c r="AA131" s="15" t="n">
        <f aca="false">PI()*POWER((T131/200),2)</f>
        <v>0</v>
      </c>
      <c r="AB131" s="15" t="n">
        <f aca="false">PI()*POWER((U131/200),2)</f>
        <v>0</v>
      </c>
    </row>
    <row r="132" customFormat="false" ht="15" hidden="false" customHeight="false" outlineLevel="0" collapsed="false">
      <c r="A132" s="2" t="s">
        <v>20</v>
      </c>
      <c r="B132" s="2" t="n">
        <v>2</v>
      </c>
      <c r="C132" s="9" t="n">
        <v>46264</v>
      </c>
      <c r="D132" s="2" t="n">
        <v>1</v>
      </c>
      <c r="E132" s="2" t="s">
        <v>85</v>
      </c>
      <c r="F132" s="2" t="s">
        <v>21</v>
      </c>
      <c r="G132" s="2" t="s">
        <v>86</v>
      </c>
      <c r="H132" s="2" t="s">
        <v>23</v>
      </c>
      <c r="I132" s="2" t="s">
        <v>25</v>
      </c>
      <c r="J132" s="2" t="n">
        <v>18</v>
      </c>
      <c r="K132" s="32" t="s">
        <v>103</v>
      </c>
      <c r="L132" s="15" t="n">
        <f aca="false">SUM(V132:AB132)</f>
        <v>0.00196349540849362</v>
      </c>
      <c r="M132" s="15" t="n">
        <f aca="false">MAX(O132:U132)</f>
        <v>5</v>
      </c>
      <c r="N132" s="15" t="n">
        <f aca="false">COUNTIF(M132,"&gt;9.9")</f>
        <v>0</v>
      </c>
      <c r="O132" s="2" t="n">
        <v>5</v>
      </c>
      <c r="V132" s="15" t="n">
        <f aca="false">PI()*POWER((O132/200),2)</f>
        <v>0.00196349540849362</v>
      </c>
      <c r="W132" s="15" t="n">
        <f aca="false">PI()*POWER((P132/200),2)</f>
        <v>0</v>
      </c>
      <c r="X132" s="15" t="n">
        <f aca="false">PI()*POWER((Q132/200),2)</f>
        <v>0</v>
      </c>
      <c r="Y132" s="15" t="n">
        <f aca="false">PI()*POWER((R132/200),2)</f>
        <v>0</v>
      </c>
      <c r="Z132" s="15" t="n">
        <f aca="false">PI()*POWER((S132/200),2)</f>
        <v>0</v>
      </c>
      <c r="AA132" s="15" t="n">
        <f aca="false">PI()*POWER((T132/200),2)</f>
        <v>0</v>
      </c>
      <c r="AB132" s="15" t="n">
        <f aca="false">PI()*POWER((U132/200),2)</f>
        <v>0</v>
      </c>
    </row>
    <row r="133" customFormat="false" ht="15" hidden="false" customHeight="false" outlineLevel="0" collapsed="false">
      <c r="A133" s="2" t="s">
        <v>20</v>
      </c>
      <c r="B133" s="2" t="n">
        <v>2</v>
      </c>
      <c r="C133" s="9" t="n">
        <v>46264</v>
      </c>
      <c r="D133" s="2" t="n">
        <v>1</v>
      </c>
      <c r="E133" s="2" t="s">
        <v>85</v>
      </c>
      <c r="F133" s="2" t="s">
        <v>21</v>
      </c>
      <c r="G133" s="2" t="s">
        <v>86</v>
      </c>
      <c r="H133" s="2" t="s">
        <v>23</v>
      </c>
      <c r="I133" s="2" t="s">
        <v>25</v>
      </c>
      <c r="J133" s="2" t="n">
        <v>12</v>
      </c>
      <c r="K133" s="32" t="s">
        <v>103</v>
      </c>
      <c r="L133" s="15" t="n">
        <f aca="false">SUM(V133:AB133)</f>
        <v>0.00282743338823081</v>
      </c>
      <c r="M133" s="15" t="n">
        <f aca="false">MAX(O133:U133)</f>
        <v>6</v>
      </c>
      <c r="N133" s="15" t="n">
        <f aca="false">COUNTIF(M133,"&gt;9.9")</f>
        <v>0</v>
      </c>
      <c r="O133" s="2" t="n">
        <v>6</v>
      </c>
      <c r="V133" s="15" t="n">
        <f aca="false">PI()*POWER((O133/200),2)</f>
        <v>0.00282743338823081</v>
      </c>
      <c r="W133" s="15" t="n">
        <f aca="false">PI()*POWER((P133/200),2)</f>
        <v>0</v>
      </c>
      <c r="X133" s="15" t="n">
        <f aca="false">PI()*POWER((Q133/200),2)</f>
        <v>0</v>
      </c>
      <c r="Y133" s="15" t="n">
        <f aca="false">PI()*POWER((R133/200),2)</f>
        <v>0</v>
      </c>
      <c r="Z133" s="15" t="n">
        <f aca="false">PI()*POWER((S133/200),2)</f>
        <v>0</v>
      </c>
      <c r="AA133" s="15" t="n">
        <f aca="false">PI()*POWER((T133/200),2)</f>
        <v>0</v>
      </c>
      <c r="AB133" s="15" t="n">
        <f aca="false">PI()*POWER((U133/200),2)</f>
        <v>0</v>
      </c>
    </row>
    <row r="134" customFormat="false" ht="15" hidden="false" customHeight="false" outlineLevel="0" collapsed="false">
      <c r="A134" s="2" t="s">
        <v>20</v>
      </c>
      <c r="B134" s="2" t="n">
        <v>2</v>
      </c>
      <c r="C134" s="9" t="n">
        <v>46264</v>
      </c>
      <c r="D134" s="2" t="n">
        <v>1</v>
      </c>
      <c r="E134" s="2" t="s">
        <v>85</v>
      </c>
      <c r="F134" s="2" t="s">
        <v>21</v>
      </c>
      <c r="G134" s="2" t="s">
        <v>86</v>
      </c>
      <c r="H134" s="2" t="s">
        <v>23</v>
      </c>
      <c r="I134" s="2" t="s">
        <v>25</v>
      </c>
      <c r="J134" s="2" t="n">
        <v>32</v>
      </c>
      <c r="K134" s="32" t="s">
        <v>103</v>
      </c>
      <c r="L134" s="15" t="n">
        <f aca="false">SUM(V134:AB134)</f>
        <v>0.00282743338823081</v>
      </c>
      <c r="M134" s="15" t="n">
        <f aca="false">MAX(O134:U134)</f>
        <v>6</v>
      </c>
      <c r="N134" s="15" t="n">
        <f aca="false">COUNTIF(M134,"&gt;9.9")</f>
        <v>0</v>
      </c>
      <c r="O134" s="2" t="n">
        <v>6</v>
      </c>
      <c r="V134" s="15" t="n">
        <f aca="false">PI()*POWER((O134/200),2)</f>
        <v>0.00282743338823081</v>
      </c>
      <c r="W134" s="15" t="n">
        <f aca="false">PI()*POWER((P134/200),2)</f>
        <v>0</v>
      </c>
      <c r="X134" s="15" t="n">
        <f aca="false">PI()*POWER((Q134/200),2)</f>
        <v>0</v>
      </c>
      <c r="Y134" s="15" t="n">
        <f aca="false">PI()*POWER((R134/200),2)</f>
        <v>0</v>
      </c>
      <c r="Z134" s="15" t="n">
        <f aca="false">PI()*POWER((S134/200),2)</f>
        <v>0</v>
      </c>
      <c r="AA134" s="15" t="n">
        <f aca="false">PI()*POWER((T134/200),2)</f>
        <v>0</v>
      </c>
      <c r="AB134" s="15" t="n">
        <f aca="false">PI()*POWER((U134/200),2)</f>
        <v>0</v>
      </c>
    </row>
    <row r="135" customFormat="false" ht="15" hidden="false" customHeight="false" outlineLevel="0" collapsed="false">
      <c r="A135" s="2" t="s">
        <v>20</v>
      </c>
      <c r="B135" s="2" t="n">
        <v>2</v>
      </c>
      <c r="C135" s="9" t="n">
        <v>46264</v>
      </c>
      <c r="D135" s="2" t="n">
        <v>1</v>
      </c>
      <c r="E135" s="2" t="s">
        <v>85</v>
      </c>
      <c r="F135" s="2" t="s">
        <v>21</v>
      </c>
      <c r="G135" s="2" t="s">
        <v>86</v>
      </c>
      <c r="H135" s="2" t="s">
        <v>23</v>
      </c>
      <c r="I135" s="2" t="s">
        <v>25</v>
      </c>
      <c r="J135" s="2" t="n">
        <v>13</v>
      </c>
      <c r="K135" s="32" t="s">
        <v>103</v>
      </c>
      <c r="L135" s="15" t="n">
        <f aca="false">SUM(V135:AB135)</f>
        <v>0.0038484510006475</v>
      </c>
      <c r="M135" s="15" t="n">
        <f aca="false">MAX(O135:U135)</f>
        <v>7</v>
      </c>
      <c r="N135" s="15" t="n">
        <f aca="false">COUNTIF(M135,"&gt;9.9")</f>
        <v>0</v>
      </c>
      <c r="O135" s="2" t="n">
        <v>7</v>
      </c>
      <c r="V135" s="15" t="n">
        <f aca="false">PI()*POWER((O135/200),2)</f>
        <v>0.0038484510006475</v>
      </c>
      <c r="W135" s="15" t="n">
        <f aca="false">PI()*POWER((P135/200),2)</f>
        <v>0</v>
      </c>
      <c r="X135" s="15" t="n">
        <f aca="false">PI()*POWER((Q135/200),2)</f>
        <v>0</v>
      </c>
      <c r="Y135" s="15" t="n">
        <f aca="false">PI()*POWER((R135/200),2)</f>
        <v>0</v>
      </c>
      <c r="Z135" s="15" t="n">
        <f aca="false">PI()*POWER((S135/200),2)</f>
        <v>0</v>
      </c>
      <c r="AA135" s="15" t="n">
        <f aca="false">PI()*POWER((T135/200),2)</f>
        <v>0</v>
      </c>
      <c r="AB135" s="15" t="n">
        <f aca="false">PI()*POWER((U135/200),2)</f>
        <v>0</v>
      </c>
    </row>
    <row r="136" customFormat="false" ht="15" hidden="false" customHeight="false" outlineLevel="0" collapsed="false">
      <c r="A136" s="2" t="s">
        <v>20</v>
      </c>
      <c r="B136" s="2" t="n">
        <v>2</v>
      </c>
      <c r="C136" s="9" t="n">
        <v>46264</v>
      </c>
      <c r="D136" s="2" t="n">
        <v>1</v>
      </c>
      <c r="E136" s="2" t="s">
        <v>85</v>
      </c>
      <c r="F136" s="2" t="s">
        <v>21</v>
      </c>
      <c r="G136" s="2" t="s">
        <v>86</v>
      </c>
      <c r="H136" s="2" t="s">
        <v>23</v>
      </c>
      <c r="I136" s="2" t="s">
        <v>25</v>
      </c>
      <c r="J136" s="2" t="n">
        <v>19</v>
      </c>
      <c r="K136" s="32" t="s">
        <v>103</v>
      </c>
      <c r="L136" s="15" t="n">
        <f aca="false">SUM(V136:AB136)</f>
        <v>0.0038484510006475</v>
      </c>
      <c r="M136" s="15" t="n">
        <f aca="false">MAX(O136:U136)</f>
        <v>7</v>
      </c>
      <c r="N136" s="15" t="n">
        <f aca="false">COUNTIF(M136,"&gt;9.9")</f>
        <v>0</v>
      </c>
      <c r="O136" s="2" t="n">
        <v>7</v>
      </c>
      <c r="V136" s="15" t="n">
        <f aca="false">PI()*POWER((O136/200),2)</f>
        <v>0.0038484510006475</v>
      </c>
      <c r="W136" s="15" t="n">
        <f aca="false">PI()*POWER((P136/200),2)</f>
        <v>0</v>
      </c>
      <c r="X136" s="15" t="n">
        <f aca="false">PI()*POWER((Q136/200),2)</f>
        <v>0</v>
      </c>
      <c r="Y136" s="15" t="n">
        <f aca="false">PI()*POWER((R136/200),2)</f>
        <v>0</v>
      </c>
      <c r="Z136" s="15" t="n">
        <f aca="false">PI()*POWER((S136/200),2)</f>
        <v>0</v>
      </c>
      <c r="AA136" s="15" t="n">
        <f aca="false">PI()*POWER((T136/200),2)</f>
        <v>0</v>
      </c>
      <c r="AB136" s="15" t="n">
        <f aca="false">PI()*POWER((U136/200),2)</f>
        <v>0</v>
      </c>
    </row>
    <row r="137" customFormat="false" ht="15" hidden="false" customHeight="false" outlineLevel="0" collapsed="false">
      <c r="A137" s="2" t="s">
        <v>20</v>
      </c>
      <c r="B137" s="2" t="n">
        <v>2</v>
      </c>
      <c r="C137" s="9" t="n">
        <v>46264</v>
      </c>
      <c r="D137" s="2" t="n">
        <v>1</v>
      </c>
      <c r="E137" s="2" t="s">
        <v>85</v>
      </c>
      <c r="F137" s="2" t="s">
        <v>21</v>
      </c>
      <c r="G137" s="2" t="s">
        <v>86</v>
      </c>
      <c r="H137" s="2" t="s">
        <v>23</v>
      </c>
      <c r="I137" s="2" t="s">
        <v>25</v>
      </c>
      <c r="J137" s="2" t="n">
        <v>33</v>
      </c>
      <c r="K137" s="32" t="s">
        <v>103</v>
      </c>
      <c r="L137" s="15" t="n">
        <f aca="false">SUM(V137:AB137)</f>
        <v>0.0038484510006475</v>
      </c>
      <c r="M137" s="15" t="n">
        <f aca="false">MAX(O137:U137)</f>
        <v>7</v>
      </c>
      <c r="N137" s="15" t="n">
        <f aca="false">COUNTIF(M137,"&gt;9.9")</f>
        <v>0</v>
      </c>
      <c r="O137" s="2" t="n">
        <v>7</v>
      </c>
      <c r="V137" s="15" t="n">
        <f aca="false">PI()*POWER((O137/200),2)</f>
        <v>0.0038484510006475</v>
      </c>
      <c r="W137" s="15" t="n">
        <f aca="false">PI()*POWER((P137/200),2)</f>
        <v>0</v>
      </c>
      <c r="X137" s="15" t="n">
        <f aca="false">PI()*POWER((Q137/200),2)</f>
        <v>0</v>
      </c>
      <c r="Y137" s="15" t="n">
        <f aca="false">PI()*POWER((R137/200),2)</f>
        <v>0</v>
      </c>
      <c r="Z137" s="15" t="n">
        <f aca="false">PI()*POWER((S137/200),2)</f>
        <v>0</v>
      </c>
      <c r="AA137" s="15" t="n">
        <f aca="false">PI()*POWER((T137/200),2)</f>
        <v>0</v>
      </c>
      <c r="AB137" s="15" t="n">
        <f aca="false">PI()*POWER((U137/200),2)</f>
        <v>0</v>
      </c>
    </row>
    <row r="138" customFormat="false" ht="15" hidden="false" customHeight="false" outlineLevel="0" collapsed="false">
      <c r="A138" s="2" t="s">
        <v>20</v>
      </c>
      <c r="B138" s="2" t="n">
        <v>2</v>
      </c>
      <c r="C138" s="9" t="n">
        <v>46264</v>
      </c>
      <c r="D138" s="2" t="n">
        <v>1</v>
      </c>
      <c r="E138" s="2" t="s">
        <v>85</v>
      </c>
      <c r="F138" s="2" t="s">
        <v>21</v>
      </c>
      <c r="G138" s="2" t="s">
        <v>86</v>
      </c>
      <c r="H138" s="2" t="s">
        <v>23</v>
      </c>
      <c r="I138" s="2" t="s">
        <v>25</v>
      </c>
      <c r="J138" s="2" t="n">
        <v>10</v>
      </c>
      <c r="K138" s="32" t="s">
        <v>103</v>
      </c>
      <c r="L138" s="15" t="n">
        <f aca="false">SUM(V138:AB138)</f>
        <v>0.00441786466911065</v>
      </c>
      <c r="M138" s="15" t="n">
        <f aca="false">MAX(O138:U138)</f>
        <v>7.5</v>
      </c>
      <c r="N138" s="15" t="n">
        <f aca="false">COUNTIF(M138,"&gt;9.9")</f>
        <v>0</v>
      </c>
      <c r="O138" s="2" t="n">
        <v>7.5</v>
      </c>
      <c r="V138" s="15" t="n">
        <f aca="false">PI()*POWER((O138/200),2)</f>
        <v>0.00441786466911065</v>
      </c>
      <c r="W138" s="15" t="n">
        <f aca="false">PI()*POWER((P138/200),2)</f>
        <v>0</v>
      </c>
      <c r="X138" s="15" t="n">
        <f aca="false">PI()*POWER((Q138/200),2)</f>
        <v>0</v>
      </c>
      <c r="Y138" s="15" t="n">
        <f aca="false">PI()*POWER((R138/200),2)</f>
        <v>0</v>
      </c>
      <c r="Z138" s="15" t="n">
        <f aca="false">PI()*POWER((S138/200),2)</f>
        <v>0</v>
      </c>
      <c r="AA138" s="15" t="n">
        <f aca="false">PI()*POWER((T138/200),2)</f>
        <v>0</v>
      </c>
      <c r="AB138" s="15" t="n">
        <f aca="false">PI()*POWER((U138/200),2)</f>
        <v>0</v>
      </c>
    </row>
    <row r="139" customFormat="false" ht="15" hidden="false" customHeight="false" outlineLevel="0" collapsed="false">
      <c r="A139" s="2" t="s">
        <v>20</v>
      </c>
      <c r="B139" s="2" t="n">
        <v>2</v>
      </c>
      <c r="C139" s="9" t="n">
        <v>46264</v>
      </c>
      <c r="D139" s="2" t="n">
        <v>1</v>
      </c>
      <c r="E139" s="2" t="s">
        <v>85</v>
      </c>
      <c r="F139" s="2" t="s">
        <v>21</v>
      </c>
      <c r="G139" s="2" t="s">
        <v>86</v>
      </c>
      <c r="H139" s="2" t="s">
        <v>23</v>
      </c>
      <c r="I139" s="2" t="s">
        <v>25</v>
      </c>
      <c r="J139" s="2" t="n">
        <v>22</v>
      </c>
      <c r="K139" s="32" t="s">
        <v>103</v>
      </c>
      <c r="L139" s="15" t="n">
        <f aca="false">SUM(V139:AB139)</f>
        <v>0.00502654824574367</v>
      </c>
      <c r="M139" s="15" t="n">
        <f aca="false">MAX(O139:U139)</f>
        <v>8</v>
      </c>
      <c r="N139" s="15" t="n">
        <f aca="false">COUNTIF(M139,"&gt;9.9")</f>
        <v>0</v>
      </c>
      <c r="O139" s="2" t="n">
        <v>8</v>
      </c>
      <c r="V139" s="15" t="n">
        <f aca="false">PI()*POWER((O139/200),2)</f>
        <v>0.00502654824574367</v>
      </c>
      <c r="W139" s="15" t="n">
        <f aca="false">PI()*POWER((P139/200),2)</f>
        <v>0</v>
      </c>
      <c r="X139" s="15" t="n">
        <f aca="false">PI()*POWER((Q139/200),2)</f>
        <v>0</v>
      </c>
      <c r="Y139" s="15" t="n">
        <f aca="false">PI()*POWER((R139/200),2)</f>
        <v>0</v>
      </c>
      <c r="Z139" s="15" t="n">
        <f aca="false">PI()*POWER((S139/200),2)</f>
        <v>0</v>
      </c>
      <c r="AA139" s="15" t="n">
        <f aca="false">PI()*POWER((T139/200),2)</f>
        <v>0</v>
      </c>
      <c r="AB139" s="15" t="n">
        <f aca="false">PI()*POWER((U139/200),2)</f>
        <v>0</v>
      </c>
    </row>
    <row r="140" customFormat="false" ht="15" hidden="false" customHeight="false" outlineLevel="0" collapsed="false">
      <c r="A140" s="2" t="s">
        <v>20</v>
      </c>
      <c r="B140" s="2" t="n">
        <v>2</v>
      </c>
      <c r="C140" s="9" t="n">
        <v>46264</v>
      </c>
      <c r="D140" s="2" t="n">
        <v>1</v>
      </c>
      <c r="E140" s="2" t="s">
        <v>85</v>
      </c>
      <c r="F140" s="2" t="s">
        <v>21</v>
      </c>
      <c r="G140" s="2" t="s">
        <v>86</v>
      </c>
      <c r="H140" s="2" t="s">
        <v>23</v>
      </c>
      <c r="I140" s="2" t="s">
        <v>25</v>
      </c>
      <c r="J140" s="2" t="n">
        <v>29</v>
      </c>
      <c r="K140" s="32" t="s">
        <v>103</v>
      </c>
      <c r="L140" s="15" t="n">
        <f aca="false">SUM(V140:AB140)</f>
        <v>0.00502654824574367</v>
      </c>
      <c r="M140" s="15" t="n">
        <f aca="false">MAX(O140:U140)</f>
        <v>8</v>
      </c>
      <c r="N140" s="15" t="n">
        <f aca="false">COUNTIF(M140,"&gt;9.9")</f>
        <v>0</v>
      </c>
      <c r="O140" s="2" t="n">
        <v>8</v>
      </c>
      <c r="V140" s="15" t="n">
        <f aca="false">PI()*POWER((O140/200),2)</f>
        <v>0.00502654824574367</v>
      </c>
      <c r="W140" s="15" t="n">
        <f aca="false">PI()*POWER((P140/200),2)</f>
        <v>0</v>
      </c>
      <c r="X140" s="15" t="n">
        <f aca="false">PI()*POWER((Q140/200),2)</f>
        <v>0</v>
      </c>
      <c r="Y140" s="15" t="n">
        <f aca="false">PI()*POWER((R140/200),2)</f>
        <v>0</v>
      </c>
      <c r="Z140" s="15" t="n">
        <f aca="false">PI()*POWER((S140/200),2)</f>
        <v>0</v>
      </c>
      <c r="AA140" s="15" t="n">
        <f aca="false">PI()*POWER((T140/200),2)</f>
        <v>0</v>
      </c>
      <c r="AB140" s="15" t="n">
        <f aca="false">PI()*POWER((U140/200),2)</f>
        <v>0</v>
      </c>
    </row>
    <row r="141" customFormat="false" ht="15" hidden="false" customHeight="false" outlineLevel="0" collapsed="false">
      <c r="A141" s="2" t="s">
        <v>20</v>
      </c>
      <c r="B141" s="2" t="n">
        <v>2</v>
      </c>
      <c r="C141" s="9" t="n">
        <v>46264</v>
      </c>
      <c r="D141" s="2" t="n">
        <v>1</v>
      </c>
      <c r="E141" s="2" t="s">
        <v>85</v>
      </c>
      <c r="F141" s="2" t="s">
        <v>21</v>
      </c>
      <c r="G141" s="2" t="s">
        <v>86</v>
      </c>
      <c r="H141" s="2" t="s">
        <v>23</v>
      </c>
      <c r="I141" s="2" t="s">
        <v>25</v>
      </c>
      <c r="J141" s="2" t="n">
        <v>7</v>
      </c>
      <c r="K141" s="32" t="s">
        <v>103</v>
      </c>
      <c r="L141" s="15" t="n">
        <f aca="false">SUM(V141:AB141)</f>
        <v>0.00636172512351933</v>
      </c>
      <c r="M141" s="15" t="n">
        <f aca="false">MAX(O141:U141)</f>
        <v>9</v>
      </c>
      <c r="N141" s="15" t="n">
        <f aca="false">COUNTIF(M141,"&gt;9.9")</f>
        <v>0</v>
      </c>
      <c r="O141" s="2" t="n">
        <v>9</v>
      </c>
      <c r="V141" s="15" t="n">
        <f aca="false">PI()*POWER((O141/200),2)</f>
        <v>0.00636172512351933</v>
      </c>
      <c r="W141" s="15" t="n">
        <f aca="false">PI()*POWER((P141/200),2)</f>
        <v>0</v>
      </c>
      <c r="X141" s="15" t="n">
        <f aca="false">PI()*POWER((Q141/200),2)</f>
        <v>0</v>
      </c>
      <c r="Y141" s="15" t="n">
        <f aca="false">PI()*POWER((R141/200),2)</f>
        <v>0</v>
      </c>
      <c r="Z141" s="15" t="n">
        <f aca="false">PI()*POWER((S141/200),2)</f>
        <v>0</v>
      </c>
      <c r="AA141" s="15" t="n">
        <f aca="false">PI()*POWER((T141/200),2)</f>
        <v>0</v>
      </c>
      <c r="AB141" s="15" t="n">
        <f aca="false">PI()*POWER((U141/200),2)</f>
        <v>0</v>
      </c>
    </row>
    <row r="142" customFormat="false" ht="15" hidden="false" customHeight="false" outlineLevel="0" collapsed="false">
      <c r="A142" s="2" t="s">
        <v>20</v>
      </c>
      <c r="B142" s="2" t="n">
        <v>2</v>
      </c>
      <c r="C142" s="9" t="n">
        <v>46264</v>
      </c>
      <c r="D142" s="2" t="n">
        <v>1</v>
      </c>
      <c r="E142" s="2" t="s">
        <v>85</v>
      </c>
      <c r="F142" s="2" t="s">
        <v>21</v>
      </c>
      <c r="G142" s="2" t="s">
        <v>86</v>
      </c>
      <c r="H142" s="2" t="s">
        <v>23</v>
      </c>
      <c r="I142" s="2" t="s">
        <v>25</v>
      </c>
      <c r="J142" s="2" t="n">
        <v>21</v>
      </c>
      <c r="K142" s="32" t="s">
        <v>103</v>
      </c>
      <c r="L142" s="15" t="n">
        <f aca="false">SUM(V142:AB142)</f>
        <v>0.00636172512351933</v>
      </c>
      <c r="M142" s="15" t="n">
        <f aca="false">MAX(O142:U142)</f>
        <v>9</v>
      </c>
      <c r="N142" s="15" t="n">
        <f aca="false">COUNTIF(M142,"&gt;9.9")</f>
        <v>0</v>
      </c>
      <c r="O142" s="2" t="n">
        <v>9</v>
      </c>
      <c r="V142" s="15" t="n">
        <f aca="false">PI()*POWER((O142/200),2)</f>
        <v>0.00636172512351933</v>
      </c>
      <c r="W142" s="15" t="n">
        <f aca="false">PI()*POWER((P142/200),2)</f>
        <v>0</v>
      </c>
      <c r="X142" s="15" t="n">
        <f aca="false">PI()*POWER((Q142/200),2)</f>
        <v>0</v>
      </c>
      <c r="Y142" s="15" t="n">
        <f aca="false">PI()*POWER((R142/200),2)</f>
        <v>0</v>
      </c>
      <c r="Z142" s="15" t="n">
        <f aca="false">PI()*POWER((S142/200),2)</f>
        <v>0</v>
      </c>
      <c r="AA142" s="15" t="n">
        <f aca="false">PI()*POWER((T142/200),2)</f>
        <v>0</v>
      </c>
      <c r="AB142" s="15" t="n">
        <f aca="false">PI()*POWER((U142/200),2)</f>
        <v>0</v>
      </c>
    </row>
    <row r="143" customFormat="false" ht="15" hidden="false" customHeight="false" outlineLevel="0" collapsed="false">
      <c r="A143" s="2" t="s">
        <v>20</v>
      </c>
      <c r="B143" s="2" t="n">
        <v>2</v>
      </c>
      <c r="C143" s="9" t="n">
        <v>46264</v>
      </c>
      <c r="D143" s="2" t="n">
        <v>1</v>
      </c>
      <c r="E143" s="2" t="s">
        <v>85</v>
      </c>
      <c r="F143" s="2" t="s">
        <v>21</v>
      </c>
      <c r="G143" s="2" t="s">
        <v>86</v>
      </c>
      <c r="H143" s="2" t="s">
        <v>23</v>
      </c>
      <c r="I143" s="2" t="s">
        <v>25</v>
      </c>
      <c r="J143" s="2" t="n">
        <v>6</v>
      </c>
      <c r="K143" s="32" t="s">
        <v>103</v>
      </c>
      <c r="L143" s="15" t="n">
        <f aca="false">SUM(V143:AB143)</f>
        <v>0.00785398163397448</v>
      </c>
      <c r="M143" s="15" t="n">
        <f aca="false">MAX(O143:U143)</f>
        <v>10</v>
      </c>
      <c r="N143" s="15" t="n">
        <f aca="false">COUNTIF(M143,"&gt;9.9")</f>
        <v>1</v>
      </c>
      <c r="O143" s="2" t="n">
        <v>10</v>
      </c>
      <c r="V143" s="15" t="n">
        <f aca="false">PI()*POWER((O143/200),2)</f>
        <v>0.00785398163397448</v>
      </c>
      <c r="W143" s="15" t="n">
        <f aca="false">PI()*POWER((P143/200),2)</f>
        <v>0</v>
      </c>
      <c r="X143" s="15" t="n">
        <f aca="false">PI()*POWER((Q143/200),2)</f>
        <v>0</v>
      </c>
      <c r="Y143" s="15" t="n">
        <f aca="false">PI()*POWER((R143/200),2)</f>
        <v>0</v>
      </c>
      <c r="Z143" s="15" t="n">
        <f aca="false">PI()*POWER((S143/200),2)</f>
        <v>0</v>
      </c>
      <c r="AA143" s="15" t="n">
        <f aca="false">PI()*POWER((T143/200),2)</f>
        <v>0</v>
      </c>
      <c r="AB143" s="15" t="n">
        <f aca="false">PI()*POWER((U143/200),2)</f>
        <v>0</v>
      </c>
    </row>
    <row r="144" customFormat="false" ht="15" hidden="false" customHeight="false" outlineLevel="0" collapsed="false">
      <c r="A144" s="2" t="s">
        <v>20</v>
      </c>
      <c r="B144" s="2" t="n">
        <v>2</v>
      </c>
      <c r="C144" s="9" t="n">
        <v>46264</v>
      </c>
      <c r="D144" s="2" t="n">
        <v>1</v>
      </c>
      <c r="E144" s="2" t="s">
        <v>85</v>
      </c>
      <c r="F144" s="2" t="s">
        <v>21</v>
      </c>
      <c r="G144" s="2" t="s">
        <v>86</v>
      </c>
      <c r="H144" s="2" t="s">
        <v>23</v>
      </c>
      <c r="I144" s="2" t="s">
        <v>25</v>
      </c>
      <c r="J144" s="2" t="n">
        <v>24</v>
      </c>
      <c r="K144" s="32" t="s">
        <v>103</v>
      </c>
      <c r="L144" s="15" t="n">
        <f aca="false">SUM(V144:AB144)</f>
        <v>0.00785398163397448</v>
      </c>
      <c r="M144" s="15" t="n">
        <f aca="false">MAX(O144:U144)</f>
        <v>10</v>
      </c>
      <c r="N144" s="15" t="n">
        <f aca="false">COUNTIF(M144,"&gt;9.9")</f>
        <v>1</v>
      </c>
      <c r="O144" s="2" t="n">
        <v>10</v>
      </c>
      <c r="V144" s="15" t="n">
        <f aca="false">PI()*POWER((O144/200),2)</f>
        <v>0.00785398163397448</v>
      </c>
      <c r="W144" s="15" t="n">
        <f aca="false">PI()*POWER((P144/200),2)</f>
        <v>0</v>
      </c>
      <c r="X144" s="15" t="n">
        <f aca="false">PI()*POWER((Q144/200),2)</f>
        <v>0</v>
      </c>
      <c r="Y144" s="15" t="n">
        <f aca="false">PI()*POWER((R144/200),2)</f>
        <v>0</v>
      </c>
      <c r="Z144" s="15" t="n">
        <f aca="false">PI()*POWER((S144/200),2)</f>
        <v>0</v>
      </c>
      <c r="AA144" s="15" t="n">
        <f aca="false">PI()*POWER((T144/200),2)</f>
        <v>0</v>
      </c>
      <c r="AB144" s="15" t="n">
        <f aca="false">PI()*POWER((U144/200),2)</f>
        <v>0</v>
      </c>
    </row>
    <row r="145" customFormat="false" ht="15" hidden="false" customHeight="false" outlineLevel="0" collapsed="false">
      <c r="A145" s="2" t="s">
        <v>20</v>
      </c>
      <c r="B145" s="2" t="n">
        <v>2</v>
      </c>
      <c r="C145" s="9" t="n">
        <v>46264</v>
      </c>
      <c r="D145" s="2" t="n">
        <v>1</v>
      </c>
      <c r="E145" s="2" t="s">
        <v>85</v>
      </c>
      <c r="F145" s="2" t="s">
        <v>21</v>
      </c>
      <c r="G145" s="2" t="s">
        <v>86</v>
      </c>
      <c r="H145" s="2" t="s">
        <v>23</v>
      </c>
      <c r="I145" s="2" t="s">
        <v>25</v>
      </c>
      <c r="J145" s="2" t="n">
        <v>5</v>
      </c>
      <c r="K145" s="32" t="s">
        <v>103</v>
      </c>
      <c r="L145" s="15" t="n">
        <f aca="false">SUM(V145:AB145)</f>
        <v>0.00950331777710912</v>
      </c>
      <c r="M145" s="15" t="n">
        <f aca="false">MAX(O145:U145)</f>
        <v>11</v>
      </c>
      <c r="N145" s="15" t="n">
        <f aca="false">COUNTIF(M145,"&gt;9.9")</f>
        <v>1</v>
      </c>
      <c r="O145" s="2" t="n">
        <v>11</v>
      </c>
      <c r="V145" s="15" t="n">
        <f aca="false">PI()*POWER((O145/200),2)</f>
        <v>0.00950331777710912</v>
      </c>
      <c r="W145" s="15" t="n">
        <f aca="false">PI()*POWER((P145/200),2)</f>
        <v>0</v>
      </c>
      <c r="X145" s="15" t="n">
        <f aca="false">PI()*POWER((Q145/200),2)</f>
        <v>0</v>
      </c>
      <c r="Y145" s="15" t="n">
        <f aca="false">PI()*POWER((R145/200),2)</f>
        <v>0</v>
      </c>
      <c r="Z145" s="15" t="n">
        <f aca="false">PI()*POWER((S145/200),2)</f>
        <v>0</v>
      </c>
      <c r="AA145" s="15" t="n">
        <f aca="false">PI()*POWER((T145/200),2)</f>
        <v>0</v>
      </c>
      <c r="AB145" s="15" t="n">
        <f aca="false">PI()*POWER((U145/200),2)</f>
        <v>0</v>
      </c>
    </row>
    <row r="146" customFormat="false" ht="15" hidden="false" customHeight="false" outlineLevel="0" collapsed="false">
      <c r="A146" s="2" t="s">
        <v>20</v>
      </c>
      <c r="B146" s="2" t="n">
        <v>2</v>
      </c>
      <c r="C146" s="9" t="n">
        <v>46264</v>
      </c>
      <c r="D146" s="2" t="n">
        <v>1</v>
      </c>
      <c r="E146" s="2" t="s">
        <v>85</v>
      </c>
      <c r="F146" s="2" t="s">
        <v>21</v>
      </c>
      <c r="G146" s="2" t="s">
        <v>86</v>
      </c>
      <c r="H146" s="2" t="s">
        <v>23</v>
      </c>
      <c r="I146" s="2" t="s">
        <v>25</v>
      </c>
      <c r="J146" s="2" t="n">
        <v>9</v>
      </c>
      <c r="K146" s="32" t="s">
        <v>103</v>
      </c>
      <c r="L146" s="15" t="n">
        <f aca="false">SUM(V146:AB146)</f>
        <v>0.00950331777710912</v>
      </c>
      <c r="M146" s="15" t="n">
        <f aca="false">MAX(O146:U146)</f>
        <v>11</v>
      </c>
      <c r="N146" s="15" t="n">
        <f aca="false">COUNTIF(M146,"&gt;9.9")</f>
        <v>1</v>
      </c>
      <c r="O146" s="2" t="n">
        <v>11</v>
      </c>
      <c r="V146" s="15" t="n">
        <f aca="false">PI()*POWER((O146/200),2)</f>
        <v>0.00950331777710912</v>
      </c>
      <c r="W146" s="15" t="n">
        <f aca="false">PI()*POWER((P146/200),2)</f>
        <v>0</v>
      </c>
      <c r="X146" s="15" t="n">
        <f aca="false">PI()*POWER((Q146/200),2)</f>
        <v>0</v>
      </c>
      <c r="Y146" s="15" t="n">
        <f aca="false">PI()*POWER((R146/200),2)</f>
        <v>0</v>
      </c>
      <c r="Z146" s="15" t="n">
        <f aca="false">PI()*POWER((S146/200),2)</f>
        <v>0</v>
      </c>
      <c r="AA146" s="15" t="n">
        <f aca="false">PI()*POWER((T146/200),2)</f>
        <v>0</v>
      </c>
      <c r="AB146" s="15" t="n">
        <f aca="false">PI()*POWER((U146/200),2)</f>
        <v>0</v>
      </c>
    </row>
    <row r="147" customFormat="false" ht="15" hidden="false" customHeight="false" outlineLevel="0" collapsed="false">
      <c r="A147" s="2" t="s">
        <v>20</v>
      </c>
      <c r="B147" s="2" t="n">
        <v>2</v>
      </c>
      <c r="C147" s="9" t="n">
        <v>46264</v>
      </c>
      <c r="D147" s="2" t="n">
        <v>1</v>
      </c>
      <c r="E147" s="2" t="s">
        <v>85</v>
      </c>
      <c r="F147" s="2" t="s">
        <v>21</v>
      </c>
      <c r="G147" s="2" t="s">
        <v>86</v>
      </c>
      <c r="H147" s="2" t="s">
        <v>23</v>
      </c>
      <c r="I147" s="2" t="s">
        <v>25</v>
      </c>
      <c r="J147" s="2" t="n">
        <v>14</v>
      </c>
      <c r="K147" s="32" t="s">
        <v>103</v>
      </c>
      <c r="L147" s="15" t="n">
        <f aca="false">SUM(V147:AB147)</f>
        <v>0.0113097335529233</v>
      </c>
      <c r="M147" s="15" t="n">
        <f aca="false">MAX(O147:U147)</f>
        <v>12</v>
      </c>
      <c r="N147" s="15" t="n">
        <f aca="false">COUNTIF(M147,"&gt;9.9")</f>
        <v>1</v>
      </c>
      <c r="O147" s="2" t="n">
        <v>12</v>
      </c>
      <c r="V147" s="15" t="n">
        <f aca="false">PI()*POWER((O147/200),2)</f>
        <v>0.0113097335529233</v>
      </c>
      <c r="W147" s="15" t="n">
        <f aca="false">PI()*POWER((P147/200),2)</f>
        <v>0</v>
      </c>
      <c r="X147" s="15" t="n">
        <f aca="false">PI()*POWER((Q147/200),2)</f>
        <v>0</v>
      </c>
      <c r="Y147" s="15" t="n">
        <f aca="false">PI()*POWER((R147/200),2)</f>
        <v>0</v>
      </c>
      <c r="Z147" s="15" t="n">
        <f aca="false">PI()*POWER((S147/200),2)</f>
        <v>0</v>
      </c>
      <c r="AA147" s="15" t="n">
        <f aca="false">PI()*POWER((T147/200),2)</f>
        <v>0</v>
      </c>
      <c r="AB147" s="15" t="n">
        <f aca="false">PI()*POWER((U147/200),2)</f>
        <v>0</v>
      </c>
    </row>
    <row r="148" customFormat="false" ht="15" hidden="false" customHeight="false" outlineLevel="0" collapsed="false">
      <c r="A148" s="2" t="s">
        <v>20</v>
      </c>
      <c r="B148" s="2" t="n">
        <v>2</v>
      </c>
      <c r="C148" s="9" t="n">
        <v>46264</v>
      </c>
      <c r="D148" s="2" t="n">
        <v>1</v>
      </c>
      <c r="E148" s="2" t="s">
        <v>85</v>
      </c>
      <c r="F148" s="2" t="s">
        <v>21</v>
      </c>
      <c r="G148" s="2" t="s">
        <v>86</v>
      </c>
      <c r="H148" s="2" t="s">
        <v>23</v>
      </c>
      <c r="I148" s="2" t="s">
        <v>25</v>
      </c>
      <c r="J148" s="2" t="n">
        <v>20</v>
      </c>
      <c r="K148" s="32" t="s">
        <v>103</v>
      </c>
      <c r="L148" s="15" t="n">
        <f aca="false">SUM(V148:AB148)</f>
        <v>0.0113097335529233</v>
      </c>
      <c r="M148" s="15" t="n">
        <f aca="false">MAX(O148:U148)</f>
        <v>12</v>
      </c>
      <c r="N148" s="15" t="n">
        <f aca="false">COUNTIF(M148,"&gt;9.9")</f>
        <v>1</v>
      </c>
      <c r="O148" s="2" t="n">
        <v>12</v>
      </c>
      <c r="V148" s="15" t="n">
        <f aca="false">PI()*POWER((O148/200),2)</f>
        <v>0.0113097335529233</v>
      </c>
      <c r="W148" s="15" t="n">
        <f aca="false">PI()*POWER((P148/200),2)</f>
        <v>0</v>
      </c>
      <c r="X148" s="15" t="n">
        <f aca="false">PI()*POWER((Q148/200),2)</f>
        <v>0</v>
      </c>
      <c r="Y148" s="15" t="n">
        <f aca="false">PI()*POWER((R148/200),2)</f>
        <v>0</v>
      </c>
      <c r="Z148" s="15" t="n">
        <f aca="false">PI()*POWER((S148/200),2)</f>
        <v>0</v>
      </c>
      <c r="AA148" s="15" t="n">
        <f aca="false">PI()*POWER((T148/200),2)</f>
        <v>0</v>
      </c>
      <c r="AB148" s="15" t="n">
        <f aca="false">PI()*POWER((U148/200),2)</f>
        <v>0</v>
      </c>
    </row>
    <row r="149" customFormat="false" ht="15" hidden="false" customHeight="false" outlineLevel="0" collapsed="false">
      <c r="A149" s="2" t="s">
        <v>20</v>
      </c>
      <c r="B149" s="2" t="n">
        <v>2</v>
      </c>
      <c r="C149" s="9" t="n">
        <v>46264</v>
      </c>
      <c r="D149" s="2" t="n">
        <v>1</v>
      </c>
      <c r="E149" s="2" t="s">
        <v>85</v>
      </c>
      <c r="F149" s="2" t="s">
        <v>21</v>
      </c>
      <c r="G149" s="2" t="s">
        <v>86</v>
      </c>
      <c r="H149" s="2" t="s">
        <v>23</v>
      </c>
      <c r="I149" s="2" t="s">
        <v>25</v>
      </c>
      <c r="J149" s="2" t="n">
        <v>15</v>
      </c>
      <c r="K149" s="32" t="s">
        <v>103</v>
      </c>
      <c r="L149" s="15" t="n">
        <f aca="false">SUM(V149:AB149)</f>
        <v>0.0283528736986479</v>
      </c>
      <c r="M149" s="15" t="n">
        <f aca="false">MAX(O149:U149)</f>
        <v>19</v>
      </c>
      <c r="N149" s="15" t="n">
        <f aca="false">COUNTIF(M149,"&gt;9.9")</f>
        <v>1</v>
      </c>
      <c r="O149" s="2" t="n">
        <v>19</v>
      </c>
      <c r="V149" s="15" t="n">
        <f aca="false">PI()*POWER((O149/200),2)</f>
        <v>0.0283528736986479</v>
      </c>
      <c r="W149" s="15" t="n">
        <f aca="false">PI()*POWER((P149/200),2)</f>
        <v>0</v>
      </c>
      <c r="X149" s="15" t="n">
        <f aca="false">PI()*POWER((Q149/200),2)</f>
        <v>0</v>
      </c>
      <c r="Y149" s="15" t="n">
        <f aca="false">PI()*POWER((R149/200),2)</f>
        <v>0</v>
      </c>
      <c r="Z149" s="15" t="n">
        <f aca="false">PI()*POWER((S149/200),2)</f>
        <v>0</v>
      </c>
      <c r="AA149" s="15" t="n">
        <f aca="false">PI()*POWER((T149/200),2)</f>
        <v>0</v>
      </c>
      <c r="AB149" s="15" t="n">
        <f aca="false">PI()*POWER((U149/200),2)</f>
        <v>0</v>
      </c>
    </row>
    <row r="150" customFormat="false" ht="15" hidden="false" customHeight="false" outlineLevel="0" collapsed="false">
      <c r="A150" s="2" t="s">
        <v>20</v>
      </c>
      <c r="B150" s="2" t="n">
        <v>2</v>
      </c>
      <c r="C150" s="9" t="n">
        <v>46264</v>
      </c>
      <c r="D150" s="2" t="n">
        <v>1</v>
      </c>
      <c r="E150" s="2" t="s">
        <v>85</v>
      </c>
      <c r="F150" s="2" t="s">
        <v>21</v>
      </c>
      <c r="G150" s="2" t="s">
        <v>86</v>
      </c>
      <c r="H150" s="2" t="s">
        <v>23</v>
      </c>
      <c r="I150" s="2" t="s">
        <v>25</v>
      </c>
      <c r="J150" s="2" t="n">
        <v>35</v>
      </c>
      <c r="K150" s="32" t="s">
        <v>142</v>
      </c>
      <c r="L150" s="15" t="n">
        <f aca="false">SUM(V150:AB150)</f>
        <v>0.1661902513749</v>
      </c>
      <c r="M150" s="15" t="n">
        <f aca="false">MAX(O150:U150)</f>
        <v>46</v>
      </c>
      <c r="N150" s="15" t="n">
        <f aca="false">COUNTIF(M150,"&gt;9.9")</f>
        <v>1</v>
      </c>
      <c r="O150" s="2" t="n">
        <v>46</v>
      </c>
      <c r="V150" s="15" t="n">
        <f aca="false">PI()*POWER((O150/200),2)</f>
        <v>0.1661902513749</v>
      </c>
      <c r="W150" s="15" t="n">
        <f aca="false">PI()*POWER((P150/200),2)</f>
        <v>0</v>
      </c>
      <c r="X150" s="15" t="n">
        <f aca="false">PI()*POWER((Q150/200),2)</f>
        <v>0</v>
      </c>
      <c r="Y150" s="15" t="n">
        <f aca="false">PI()*POWER((R150/200),2)</f>
        <v>0</v>
      </c>
      <c r="Z150" s="15" t="n">
        <f aca="false">PI()*POWER((S150/200),2)</f>
        <v>0</v>
      </c>
      <c r="AA150" s="15" t="n">
        <f aca="false">PI()*POWER((T150/200),2)</f>
        <v>0</v>
      </c>
      <c r="AB150" s="15" t="n">
        <f aca="false">PI()*POWER((U150/200),2)</f>
        <v>0</v>
      </c>
    </row>
    <row r="151" customFormat="false" ht="15" hidden="false" customHeight="false" outlineLevel="0" collapsed="false">
      <c r="A151" s="2" t="s">
        <v>20</v>
      </c>
      <c r="B151" s="2" t="n">
        <v>2</v>
      </c>
      <c r="C151" s="9" t="n">
        <v>46264</v>
      </c>
      <c r="D151" s="2" t="n">
        <v>1</v>
      </c>
      <c r="E151" s="2" t="s">
        <v>85</v>
      </c>
      <c r="F151" s="2" t="s">
        <v>21</v>
      </c>
      <c r="G151" s="2" t="s">
        <v>86</v>
      </c>
      <c r="H151" s="2" t="s">
        <v>23</v>
      </c>
      <c r="I151" s="2" t="s">
        <v>25</v>
      </c>
      <c r="J151" s="2" t="n">
        <v>1</v>
      </c>
      <c r="K151" s="32" t="s">
        <v>142</v>
      </c>
      <c r="L151" s="15" t="n">
        <f aca="false">SUM(V151:AB151)</f>
        <v>0.24630086404144</v>
      </c>
      <c r="M151" s="15" t="n">
        <f aca="false">MAX(O151:U151)</f>
        <v>56</v>
      </c>
      <c r="N151" s="15" t="n">
        <f aca="false">COUNTIF(M151,"&gt;9.9")</f>
        <v>1</v>
      </c>
      <c r="O151" s="2" t="n">
        <v>56</v>
      </c>
      <c r="V151" s="15" t="n">
        <f aca="false">PI()*POWER((O151/200),2)</f>
        <v>0.24630086404144</v>
      </c>
      <c r="W151" s="15" t="n">
        <f aca="false">PI()*POWER((P151/200),2)</f>
        <v>0</v>
      </c>
      <c r="X151" s="15" t="n">
        <f aca="false">PI()*POWER((Q151/200),2)</f>
        <v>0</v>
      </c>
      <c r="Y151" s="15" t="n">
        <f aca="false">PI()*POWER((R151/200),2)</f>
        <v>0</v>
      </c>
      <c r="Z151" s="15" t="n">
        <f aca="false">PI()*POWER((S151/200),2)</f>
        <v>0</v>
      </c>
      <c r="AA151" s="15" t="n">
        <f aca="false">PI()*POWER((T151/200),2)</f>
        <v>0</v>
      </c>
      <c r="AB151" s="15" t="n">
        <f aca="false">PI()*POWER((U151/200),2)</f>
        <v>0</v>
      </c>
    </row>
    <row r="152" customFormat="false" ht="15" hidden="false" customHeight="false" outlineLevel="0" collapsed="false">
      <c r="A152" s="2" t="s">
        <v>20</v>
      </c>
      <c r="B152" s="2" t="n">
        <v>2</v>
      </c>
      <c r="C152" s="9" t="n">
        <v>46264</v>
      </c>
      <c r="D152" s="2" t="n">
        <v>1</v>
      </c>
      <c r="E152" s="2" t="s">
        <v>85</v>
      </c>
      <c r="F152" s="2" t="s">
        <v>21</v>
      </c>
      <c r="G152" s="2" t="s">
        <v>86</v>
      </c>
      <c r="H152" s="2" t="s">
        <v>23</v>
      </c>
      <c r="I152" s="2" t="s">
        <v>25</v>
      </c>
      <c r="J152" s="2" t="n">
        <v>2</v>
      </c>
      <c r="K152" s="32" t="s">
        <v>142</v>
      </c>
      <c r="L152" s="15" t="n">
        <f aca="false">SUM(V152:AB152)</f>
        <v>0.465662571078347</v>
      </c>
      <c r="M152" s="15" t="n">
        <f aca="false">MAX(O152:U152)</f>
        <v>77</v>
      </c>
      <c r="N152" s="15" t="n">
        <f aca="false">COUNTIF(M152,"&gt;9.9")</f>
        <v>1</v>
      </c>
      <c r="O152" s="2" t="n">
        <v>77</v>
      </c>
      <c r="V152" s="15" t="n">
        <f aca="false">PI()*POWER((O152/200),2)</f>
        <v>0.465662571078347</v>
      </c>
      <c r="W152" s="15" t="n">
        <f aca="false">PI()*POWER((P152/200),2)</f>
        <v>0</v>
      </c>
      <c r="X152" s="15" t="n">
        <f aca="false">PI()*POWER((Q152/200),2)</f>
        <v>0</v>
      </c>
      <c r="Y152" s="15" t="n">
        <f aca="false">PI()*POWER((R152/200),2)</f>
        <v>0</v>
      </c>
      <c r="Z152" s="15" t="n">
        <f aca="false">PI()*POWER((S152/200),2)</f>
        <v>0</v>
      </c>
      <c r="AA152" s="15" t="n">
        <f aca="false">PI()*POWER((T152/200),2)</f>
        <v>0</v>
      </c>
      <c r="AB152" s="15" t="n">
        <f aca="false">PI()*POWER((U152/200),2)</f>
        <v>0</v>
      </c>
    </row>
    <row r="153" customFormat="false" ht="15" hidden="false" customHeight="false" outlineLevel="0" collapsed="false">
      <c r="A153" s="2" t="s">
        <v>20</v>
      </c>
      <c r="B153" s="2" t="n">
        <v>2</v>
      </c>
      <c r="C153" s="33" t="n">
        <v>46264</v>
      </c>
      <c r="D153" s="2" t="n">
        <v>2</v>
      </c>
      <c r="E153" s="2" t="s">
        <v>26</v>
      </c>
      <c r="F153" s="2" t="s">
        <v>27</v>
      </c>
      <c r="G153" s="2" t="s">
        <v>28</v>
      </c>
      <c r="H153" s="2" t="s">
        <v>95</v>
      </c>
      <c r="I153" s="2" t="s">
        <v>30</v>
      </c>
      <c r="J153" s="2" t="n">
        <v>46</v>
      </c>
      <c r="K153" s="32" t="s">
        <v>103</v>
      </c>
      <c r="L153" s="63" t="n">
        <f aca="false">SUM(V153:AB153)</f>
        <v>0.000380132711084365</v>
      </c>
      <c r="M153" s="63" t="n">
        <f aca="false">MAX(O153:U153)</f>
        <v>2.2</v>
      </c>
      <c r="N153" s="15" t="n">
        <f aca="false">COUNTIF(M153,"&gt;9.9")</f>
        <v>0</v>
      </c>
      <c r="O153" s="2" t="n">
        <v>2.2</v>
      </c>
      <c r="V153" s="63" t="n">
        <f aca="false">PI()*POWER((O153/200),2)</f>
        <v>0.000380132711084365</v>
      </c>
      <c r="W153" s="63" t="n">
        <f aca="false">PI()*POWER((P153/200),2)</f>
        <v>0</v>
      </c>
      <c r="X153" s="63" t="n">
        <f aca="false">PI()*POWER((Q153/200),2)</f>
        <v>0</v>
      </c>
      <c r="Y153" s="63" t="n">
        <f aca="false">PI()*POWER((R153/200),2)</f>
        <v>0</v>
      </c>
      <c r="Z153" s="63" t="n">
        <f aca="false">PI()*POWER((S153/200),2)</f>
        <v>0</v>
      </c>
      <c r="AA153" s="63" t="n">
        <f aca="false">PI()*POWER((T153/200),2)</f>
        <v>0</v>
      </c>
      <c r="AB153" s="63" t="n">
        <f aca="false">PI()*POWER((U153/200),2)</f>
        <v>0</v>
      </c>
    </row>
    <row r="154" customFormat="false" ht="15" hidden="false" customHeight="false" outlineLevel="0" collapsed="false">
      <c r="A154" s="2" t="s">
        <v>20</v>
      </c>
      <c r="B154" s="2" t="n">
        <v>2</v>
      </c>
      <c r="C154" s="33" t="n">
        <v>46264</v>
      </c>
      <c r="D154" s="2" t="n">
        <v>2</v>
      </c>
      <c r="E154" s="2" t="s">
        <v>26</v>
      </c>
      <c r="F154" s="2" t="s">
        <v>27</v>
      </c>
      <c r="G154" s="2" t="s">
        <v>28</v>
      </c>
      <c r="H154" s="2" t="s">
        <v>95</v>
      </c>
      <c r="I154" s="2" t="s">
        <v>30</v>
      </c>
      <c r="J154" s="2" t="n">
        <v>25</v>
      </c>
      <c r="K154" s="32" t="s">
        <v>103</v>
      </c>
      <c r="L154" s="63" t="n">
        <f aca="false">SUM(V154:AB154)</f>
        <v>0.000490873852123405</v>
      </c>
      <c r="M154" s="63" t="n">
        <f aca="false">MAX(O154:U154)</f>
        <v>2.5</v>
      </c>
      <c r="N154" s="15" t="n">
        <f aca="false">COUNTIF(M154,"&gt;9.9")</f>
        <v>0</v>
      </c>
      <c r="O154" s="2" t="n">
        <v>2.5</v>
      </c>
      <c r="V154" s="63" t="n">
        <f aca="false">PI()*POWER((O154/200),2)</f>
        <v>0.000490873852123405</v>
      </c>
      <c r="W154" s="63" t="n">
        <f aca="false">PI()*POWER((P154/200),2)</f>
        <v>0</v>
      </c>
      <c r="X154" s="63" t="n">
        <f aca="false">PI()*POWER((Q154/200),2)</f>
        <v>0</v>
      </c>
      <c r="Y154" s="63" t="n">
        <f aca="false">PI()*POWER((R154/200),2)</f>
        <v>0</v>
      </c>
      <c r="Z154" s="63" t="n">
        <f aca="false">PI()*POWER((S154/200),2)</f>
        <v>0</v>
      </c>
      <c r="AA154" s="63" t="n">
        <f aca="false">PI()*POWER((T154/200),2)</f>
        <v>0</v>
      </c>
      <c r="AB154" s="63" t="n">
        <f aca="false">PI()*POWER((U154/200),2)</f>
        <v>0</v>
      </c>
    </row>
    <row r="155" customFormat="false" ht="15" hidden="false" customHeight="false" outlineLevel="0" collapsed="false">
      <c r="A155" s="2" t="s">
        <v>20</v>
      </c>
      <c r="B155" s="2" t="n">
        <v>2</v>
      </c>
      <c r="C155" s="33" t="n">
        <v>46264</v>
      </c>
      <c r="D155" s="2" t="n">
        <v>2</v>
      </c>
      <c r="E155" s="2" t="s">
        <v>26</v>
      </c>
      <c r="F155" s="2" t="s">
        <v>27</v>
      </c>
      <c r="G155" s="2" t="s">
        <v>28</v>
      </c>
      <c r="H155" s="2" t="s">
        <v>95</v>
      </c>
      <c r="I155" s="2" t="s">
        <v>30</v>
      </c>
      <c r="J155" s="2" t="n">
        <v>26</v>
      </c>
      <c r="K155" s="32" t="s">
        <v>103</v>
      </c>
      <c r="L155" s="63" t="n">
        <f aca="false">SUM(V155:AB155)</f>
        <v>0.000490873852123405</v>
      </c>
      <c r="M155" s="63" t="n">
        <f aca="false">MAX(O155:U155)</f>
        <v>2.5</v>
      </c>
      <c r="N155" s="15" t="n">
        <f aca="false">COUNTIF(M155,"&gt;9.9")</f>
        <v>0</v>
      </c>
      <c r="O155" s="2" t="n">
        <v>2.5</v>
      </c>
      <c r="V155" s="63" t="n">
        <f aca="false">PI()*POWER((O155/200),2)</f>
        <v>0.000490873852123405</v>
      </c>
      <c r="W155" s="63" t="n">
        <f aca="false">PI()*POWER((P155/200),2)</f>
        <v>0</v>
      </c>
      <c r="X155" s="63" t="n">
        <f aca="false">PI()*POWER((Q155/200),2)</f>
        <v>0</v>
      </c>
      <c r="Y155" s="63" t="n">
        <f aca="false">PI()*POWER((R155/200),2)</f>
        <v>0</v>
      </c>
      <c r="Z155" s="63" t="n">
        <f aca="false">PI()*POWER((S155/200),2)</f>
        <v>0</v>
      </c>
      <c r="AA155" s="63" t="n">
        <f aca="false">PI()*POWER((T155/200),2)</f>
        <v>0</v>
      </c>
      <c r="AB155" s="63" t="n">
        <f aca="false">PI()*POWER((U155/200),2)</f>
        <v>0</v>
      </c>
    </row>
    <row r="156" customFormat="false" ht="15" hidden="false" customHeight="false" outlineLevel="0" collapsed="false">
      <c r="A156" s="2" t="s">
        <v>20</v>
      </c>
      <c r="B156" s="2" t="n">
        <v>2</v>
      </c>
      <c r="C156" s="33" t="n">
        <v>46264</v>
      </c>
      <c r="D156" s="2" t="n">
        <v>2</v>
      </c>
      <c r="E156" s="2" t="s">
        <v>26</v>
      </c>
      <c r="F156" s="2" t="s">
        <v>27</v>
      </c>
      <c r="G156" s="2" t="s">
        <v>28</v>
      </c>
      <c r="H156" s="2" t="s">
        <v>95</v>
      </c>
      <c r="I156" s="2" t="s">
        <v>30</v>
      </c>
      <c r="J156" s="2" t="n">
        <v>7</v>
      </c>
      <c r="K156" s="32" t="s">
        <v>103</v>
      </c>
      <c r="L156" s="63" t="n">
        <f aca="false">SUM(V156:AB156)</f>
        <v>0.000706858347057703</v>
      </c>
      <c r="M156" s="63" t="n">
        <f aca="false">MAX(O156:U156)</f>
        <v>3</v>
      </c>
      <c r="N156" s="15" t="n">
        <f aca="false">COUNTIF(M156,"&gt;9.9")</f>
        <v>0</v>
      </c>
      <c r="O156" s="2" t="n">
        <v>3</v>
      </c>
      <c r="V156" s="63" t="n">
        <f aca="false">PI()*POWER((O156/200),2)</f>
        <v>0.000706858347057703</v>
      </c>
      <c r="W156" s="63" t="n">
        <f aca="false">PI()*POWER((P156/200),2)</f>
        <v>0</v>
      </c>
      <c r="X156" s="63" t="n">
        <f aca="false">PI()*POWER((Q156/200),2)</f>
        <v>0</v>
      </c>
      <c r="Y156" s="63" t="n">
        <f aca="false">PI()*POWER((R156/200),2)</f>
        <v>0</v>
      </c>
      <c r="Z156" s="63" t="n">
        <f aca="false">PI()*POWER((S156/200),2)</f>
        <v>0</v>
      </c>
      <c r="AA156" s="63" t="n">
        <f aca="false">PI()*POWER((T156/200),2)</f>
        <v>0</v>
      </c>
      <c r="AB156" s="63" t="n">
        <f aca="false">PI()*POWER((U156/200),2)</f>
        <v>0</v>
      </c>
    </row>
    <row r="157" customFormat="false" ht="15" hidden="false" customHeight="false" outlineLevel="0" collapsed="false">
      <c r="A157" s="2" t="s">
        <v>20</v>
      </c>
      <c r="B157" s="2" t="n">
        <v>2</v>
      </c>
      <c r="C157" s="33" t="n">
        <v>46264</v>
      </c>
      <c r="D157" s="2" t="n">
        <v>2</v>
      </c>
      <c r="E157" s="2" t="s">
        <v>26</v>
      </c>
      <c r="F157" s="2" t="s">
        <v>27</v>
      </c>
      <c r="G157" s="2" t="s">
        <v>28</v>
      </c>
      <c r="H157" s="2" t="s">
        <v>95</v>
      </c>
      <c r="I157" s="2" t="s">
        <v>30</v>
      </c>
      <c r="J157" s="2" t="n">
        <v>31</v>
      </c>
      <c r="K157" s="32" t="s">
        <v>103</v>
      </c>
      <c r="L157" s="63" t="n">
        <f aca="false">SUM(V157:AB157)</f>
        <v>0.000706858347057703</v>
      </c>
      <c r="M157" s="63" t="n">
        <f aca="false">MAX(O157:U157)</f>
        <v>3</v>
      </c>
      <c r="N157" s="15" t="n">
        <f aca="false">COUNTIF(M157,"&gt;9.9")</f>
        <v>0</v>
      </c>
      <c r="O157" s="2" t="n">
        <v>3</v>
      </c>
      <c r="V157" s="63" t="n">
        <f aca="false">PI()*POWER((O157/200),2)</f>
        <v>0.000706858347057703</v>
      </c>
      <c r="W157" s="63" t="n">
        <f aca="false">PI()*POWER((P157/200),2)</f>
        <v>0</v>
      </c>
      <c r="X157" s="63" t="n">
        <f aca="false">PI()*POWER((Q157/200),2)</f>
        <v>0</v>
      </c>
      <c r="Y157" s="63" t="n">
        <f aca="false">PI()*POWER((R157/200),2)</f>
        <v>0</v>
      </c>
      <c r="Z157" s="63" t="n">
        <f aca="false">PI()*POWER((S157/200),2)</f>
        <v>0</v>
      </c>
      <c r="AA157" s="63" t="n">
        <f aca="false">PI()*POWER((T157/200),2)</f>
        <v>0</v>
      </c>
      <c r="AB157" s="63" t="n">
        <f aca="false">PI()*POWER((U157/200),2)</f>
        <v>0</v>
      </c>
    </row>
    <row r="158" customFormat="false" ht="15" hidden="false" customHeight="false" outlineLevel="0" collapsed="false">
      <c r="A158" s="2" t="s">
        <v>20</v>
      </c>
      <c r="B158" s="2" t="n">
        <v>2</v>
      </c>
      <c r="C158" s="33" t="n">
        <v>46264</v>
      </c>
      <c r="D158" s="2" t="n">
        <v>2</v>
      </c>
      <c r="E158" s="2" t="s">
        <v>26</v>
      </c>
      <c r="F158" s="2" t="s">
        <v>27</v>
      </c>
      <c r="G158" s="2" t="s">
        <v>28</v>
      </c>
      <c r="H158" s="2" t="s">
        <v>95</v>
      </c>
      <c r="I158" s="2" t="s">
        <v>30</v>
      </c>
      <c r="J158" s="2" t="n">
        <v>47</v>
      </c>
      <c r="K158" s="32" t="s">
        <v>103</v>
      </c>
      <c r="L158" s="63" t="n">
        <f aca="false">SUM(V158:AB158)</f>
        <v>0.000706858347057703</v>
      </c>
      <c r="M158" s="63" t="n">
        <f aca="false">MAX(O158:U158)</f>
        <v>3</v>
      </c>
      <c r="N158" s="15" t="n">
        <f aca="false">COUNTIF(M158,"&gt;9.9")</f>
        <v>0</v>
      </c>
      <c r="O158" s="2" t="n">
        <v>3</v>
      </c>
      <c r="V158" s="63" t="n">
        <f aca="false">PI()*POWER((O158/200),2)</f>
        <v>0.000706858347057703</v>
      </c>
      <c r="W158" s="63" t="n">
        <f aca="false">PI()*POWER((P158/200),2)</f>
        <v>0</v>
      </c>
      <c r="X158" s="63" t="n">
        <f aca="false">PI()*POWER((Q158/200),2)</f>
        <v>0</v>
      </c>
      <c r="Y158" s="63" t="n">
        <f aca="false">PI()*POWER((R158/200),2)</f>
        <v>0</v>
      </c>
      <c r="Z158" s="63" t="n">
        <f aca="false">PI()*POWER((S158/200),2)</f>
        <v>0</v>
      </c>
      <c r="AA158" s="63" t="n">
        <f aca="false">PI()*POWER((T158/200),2)</f>
        <v>0</v>
      </c>
      <c r="AB158" s="63" t="n">
        <f aca="false">PI()*POWER((U158/200),2)</f>
        <v>0</v>
      </c>
    </row>
    <row r="159" customFormat="false" ht="15" hidden="false" customHeight="false" outlineLevel="0" collapsed="false">
      <c r="A159" s="2" t="s">
        <v>20</v>
      </c>
      <c r="B159" s="2" t="n">
        <v>2</v>
      </c>
      <c r="C159" s="33" t="n">
        <v>46264</v>
      </c>
      <c r="D159" s="2" t="n">
        <v>2</v>
      </c>
      <c r="E159" s="2" t="s">
        <v>26</v>
      </c>
      <c r="F159" s="2" t="s">
        <v>27</v>
      </c>
      <c r="G159" s="2" t="s">
        <v>28</v>
      </c>
      <c r="H159" s="2" t="s">
        <v>95</v>
      </c>
      <c r="I159" s="2" t="s">
        <v>30</v>
      </c>
      <c r="J159" s="2" t="n">
        <v>33</v>
      </c>
      <c r="K159" s="32" t="s">
        <v>103</v>
      </c>
      <c r="L159" s="63" t="n">
        <f aca="false">SUM(V159:AB159)</f>
        <v>0.000804247719318987</v>
      </c>
      <c r="M159" s="63" t="n">
        <f aca="false">MAX(O159:U159)</f>
        <v>3.2</v>
      </c>
      <c r="N159" s="15" t="n">
        <f aca="false">COUNTIF(M159,"&gt;9.9")</f>
        <v>0</v>
      </c>
      <c r="O159" s="2" t="n">
        <v>3.2</v>
      </c>
      <c r="V159" s="63" t="n">
        <f aca="false">PI()*POWER((O159/200),2)</f>
        <v>0.000804247719318987</v>
      </c>
      <c r="W159" s="63" t="n">
        <f aca="false">PI()*POWER((P159/200),2)</f>
        <v>0</v>
      </c>
      <c r="X159" s="63" t="n">
        <f aca="false">PI()*POWER((Q159/200),2)</f>
        <v>0</v>
      </c>
      <c r="Y159" s="63" t="n">
        <f aca="false">PI()*POWER((R159/200),2)</f>
        <v>0</v>
      </c>
      <c r="Z159" s="63" t="n">
        <f aca="false">PI()*POWER((S159/200),2)</f>
        <v>0</v>
      </c>
      <c r="AA159" s="63" t="n">
        <f aca="false">PI()*POWER((T159/200),2)</f>
        <v>0</v>
      </c>
      <c r="AB159" s="63" t="n">
        <f aca="false">PI()*POWER((U159/200),2)</f>
        <v>0</v>
      </c>
    </row>
    <row r="160" customFormat="false" ht="15" hidden="false" customHeight="false" outlineLevel="0" collapsed="false">
      <c r="A160" s="2" t="s">
        <v>20</v>
      </c>
      <c r="B160" s="2" t="n">
        <v>2</v>
      </c>
      <c r="C160" s="33" t="n">
        <v>46264</v>
      </c>
      <c r="D160" s="2" t="n">
        <v>2</v>
      </c>
      <c r="E160" s="2" t="s">
        <v>26</v>
      </c>
      <c r="F160" s="2" t="s">
        <v>27</v>
      </c>
      <c r="G160" s="2" t="s">
        <v>28</v>
      </c>
      <c r="H160" s="2" t="s">
        <v>95</v>
      </c>
      <c r="I160" s="2" t="s">
        <v>30</v>
      </c>
      <c r="J160" s="2" t="n">
        <v>4</v>
      </c>
      <c r="K160" s="32" t="s">
        <v>103</v>
      </c>
      <c r="L160" s="63" t="n">
        <f aca="false">SUM(V160:AB160)</f>
        <v>0.000962112750161874</v>
      </c>
      <c r="M160" s="63" t="n">
        <f aca="false">MAX(O160:U160)</f>
        <v>3.5</v>
      </c>
      <c r="N160" s="15" t="n">
        <f aca="false">COUNTIF(M160,"&gt;9.9")</f>
        <v>0</v>
      </c>
      <c r="O160" s="2" t="n">
        <v>3.5</v>
      </c>
      <c r="V160" s="63" t="n">
        <f aca="false">PI()*POWER((O160/200),2)</f>
        <v>0.000962112750161874</v>
      </c>
      <c r="W160" s="63" t="n">
        <f aca="false">PI()*POWER((P160/200),2)</f>
        <v>0</v>
      </c>
      <c r="X160" s="63" t="n">
        <f aca="false">PI()*POWER((Q160/200),2)</f>
        <v>0</v>
      </c>
      <c r="Y160" s="63" t="n">
        <f aca="false">PI()*POWER((R160/200),2)</f>
        <v>0</v>
      </c>
      <c r="Z160" s="63" t="n">
        <f aca="false">PI()*POWER((S160/200),2)</f>
        <v>0</v>
      </c>
      <c r="AA160" s="63" t="n">
        <f aca="false">PI()*POWER((T160/200),2)</f>
        <v>0</v>
      </c>
      <c r="AB160" s="63" t="n">
        <f aca="false">PI()*POWER((U160/200),2)</f>
        <v>0</v>
      </c>
    </row>
    <row r="161" customFormat="false" ht="15" hidden="false" customHeight="false" outlineLevel="0" collapsed="false">
      <c r="A161" s="2" t="s">
        <v>20</v>
      </c>
      <c r="B161" s="2" t="n">
        <v>2</v>
      </c>
      <c r="C161" s="33" t="n">
        <v>46264</v>
      </c>
      <c r="D161" s="2" t="n">
        <v>2</v>
      </c>
      <c r="E161" s="2" t="s">
        <v>26</v>
      </c>
      <c r="F161" s="2" t="s">
        <v>27</v>
      </c>
      <c r="G161" s="2" t="s">
        <v>28</v>
      </c>
      <c r="H161" s="2" t="s">
        <v>95</v>
      </c>
      <c r="I161" s="2" t="s">
        <v>30</v>
      </c>
      <c r="J161" s="2" t="n">
        <v>5</v>
      </c>
      <c r="K161" s="32" t="s">
        <v>103</v>
      </c>
      <c r="L161" s="63" t="n">
        <f aca="false">SUM(V161:AB161)</f>
        <v>0.000962112750161874</v>
      </c>
      <c r="M161" s="63" t="n">
        <f aca="false">MAX(O161:U161)</f>
        <v>3.5</v>
      </c>
      <c r="N161" s="15" t="n">
        <f aca="false">COUNTIF(M161,"&gt;9.9")</f>
        <v>0</v>
      </c>
      <c r="O161" s="2" t="n">
        <v>3.5</v>
      </c>
      <c r="V161" s="63" t="n">
        <f aca="false">PI()*POWER((O161/200),2)</f>
        <v>0.000962112750161874</v>
      </c>
      <c r="W161" s="63" t="n">
        <f aca="false">PI()*POWER((P161/200),2)</f>
        <v>0</v>
      </c>
      <c r="X161" s="63" t="n">
        <f aca="false">PI()*POWER((Q161/200),2)</f>
        <v>0</v>
      </c>
      <c r="Y161" s="63" t="n">
        <f aca="false">PI()*POWER((R161/200),2)</f>
        <v>0</v>
      </c>
      <c r="Z161" s="63" t="n">
        <f aca="false">PI()*POWER((S161/200),2)</f>
        <v>0</v>
      </c>
      <c r="AA161" s="63" t="n">
        <f aca="false">PI()*POWER((T161/200),2)</f>
        <v>0</v>
      </c>
      <c r="AB161" s="63" t="n">
        <f aca="false">PI()*POWER((U161/200),2)</f>
        <v>0</v>
      </c>
    </row>
    <row r="162" customFormat="false" ht="15" hidden="false" customHeight="false" outlineLevel="0" collapsed="false">
      <c r="A162" s="2" t="s">
        <v>20</v>
      </c>
      <c r="B162" s="2" t="n">
        <v>2</v>
      </c>
      <c r="C162" s="33" t="n">
        <v>46264</v>
      </c>
      <c r="D162" s="2" t="n">
        <v>2</v>
      </c>
      <c r="E162" s="2" t="s">
        <v>26</v>
      </c>
      <c r="F162" s="2" t="s">
        <v>27</v>
      </c>
      <c r="G162" s="2" t="s">
        <v>28</v>
      </c>
      <c r="H162" s="2" t="s">
        <v>95</v>
      </c>
      <c r="I162" s="2" t="s">
        <v>30</v>
      </c>
      <c r="J162" s="2" t="n">
        <v>13</v>
      </c>
      <c r="K162" s="32" t="s">
        <v>103</v>
      </c>
      <c r="L162" s="63" t="n">
        <f aca="false">SUM(V162:AB162)</f>
        <v>0.000962112750161874</v>
      </c>
      <c r="M162" s="63" t="n">
        <f aca="false">MAX(O162:U162)</f>
        <v>3.5</v>
      </c>
      <c r="N162" s="15" t="n">
        <f aca="false">COUNTIF(M162,"&gt;9.9")</f>
        <v>0</v>
      </c>
      <c r="O162" s="2" t="n">
        <v>3.5</v>
      </c>
      <c r="V162" s="63" t="n">
        <f aca="false">PI()*POWER((O162/200),2)</f>
        <v>0.000962112750161874</v>
      </c>
      <c r="W162" s="63" t="n">
        <f aca="false">PI()*POWER((P162/200),2)</f>
        <v>0</v>
      </c>
      <c r="X162" s="63" t="n">
        <f aca="false">PI()*POWER((Q162/200),2)</f>
        <v>0</v>
      </c>
      <c r="Y162" s="63" t="n">
        <f aca="false">PI()*POWER((R162/200),2)</f>
        <v>0</v>
      </c>
      <c r="Z162" s="63" t="n">
        <f aca="false">PI()*POWER((S162/200),2)</f>
        <v>0</v>
      </c>
      <c r="AA162" s="63" t="n">
        <f aca="false">PI()*POWER((T162/200),2)</f>
        <v>0</v>
      </c>
      <c r="AB162" s="63" t="n">
        <f aca="false">PI()*POWER((U162/200),2)</f>
        <v>0</v>
      </c>
    </row>
    <row r="163" customFormat="false" ht="15" hidden="false" customHeight="false" outlineLevel="0" collapsed="false">
      <c r="A163" s="2" t="s">
        <v>20</v>
      </c>
      <c r="B163" s="2" t="n">
        <v>2</v>
      </c>
      <c r="C163" s="33" t="n">
        <v>46264</v>
      </c>
      <c r="D163" s="2" t="n">
        <v>2</v>
      </c>
      <c r="E163" s="2" t="s">
        <v>26</v>
      </c>
      <c r="F163" s="2" t="s">
        <v>27</v>
      </c>
      <c r="G163" s="2" t="s">
        <v>28</v>
      </c>
      <c r="H163" s="2" t="s">
        <v>95</v>
      </c>
      <c r="I163" s="2" t="s">
        <v>30</v>
      </c>
      <c r="J163" s="2" t="n">
        <v>1</v>
      </c>
      <c r="K163" s="32" t="s">
        <v>103</v>
      </c>
      <c r="L163" s="63" t="n">
        <f aca="false">SUM(V163:AB163)</f>
        <v>0.00113411494794592</v>
      </c>
      <c r="M163" s="63" t="n">
        <f aca="false">MAX(O163:U163)</f>
        <v>3.8</v>
      </c>
      <c r="N163" s="15" t="n">
        <f aca="false">COUNTIF(M163,"&gt;9.9")</f>
        <v>0</v>
      </c>
      <c r="O163" s="2" t="n">
        <v>3.8</v>
      </c>
      <c r="V163" s="63" t="n">
        <f aca="false">PI()*POWER((O163/200),2)</f>
        <v>0.00113411494794592</v>
      </c>
      <c r="W163" s="63" t="n">
        <f aca="false">PI()*POWER((P163/200),2)</f>
        <v>0</v>
      </c>
      <c r="X163" s="63" t="n">
        <f aca="false">PI()*POWER((Q163/200),2)</f>
        <v>0</v>
      </c>
      <c r="Y163" s="63" t="n">
        <f aca="false">PI()*POWER((R163/200),2)</f>
        <v>0</v>
      </c>
      <c r="Z163" s="63" t="n">
        <f aca="false">PI()*POWER((S163/200),2)</f>
        <v>0</v>
      </c>
      <c r="AA163" s="63" t="n">
        <f aca="false">PI()*POWER((T163/200),2)</f>
        <v>0</v>
      </c>
      <c r="AB163" s="63" t="n">
        <f aca="false">PI()*POWER((U163/200),2)</f>
        <v>0</v>
      </c>
    </row>
    <row r="164" customFormat="false" ht="15" hidden="false" customHeight="false" outlineLevel="0" collapsed="false">
      <c r="A164" s="2" t="s">
        <v>20</v>
      </c>
      <c r="B164" s="2" t="n">
        <v>2</v>
      </c>
      <c r="C164" s="33" t="n">
        <v>46264</v>
      </c>
      <c r="D164" s="2" t="n">
        <v>2</v>
      </c>
      <c r="E164" s="2" t="s">
        <v>26</v>
      </c>
      <c r="F164" s="2" t="s">
        <v>27</v>
      </c>
      <c r="G164" s="2" t="s">
        <v>28</v>
      </c>
      <c r="H164" s="2" t="s">
        <v>95</v>
      </c>
      <c r="I164" s="2" t="s">
        <v>30</v>
      </c>
      <c r="J164" s="2" t="n">
        <v>28</v>
      </c>
      <c r="K164" s="32" t="s">
        <v>103</v>
      </c>
      <c r="L164" s="63" t="n">
        <f aca="false">SUM(V164:AB164)</f>
        <v>0.00113411494794592</v>
      </c>
      <c r="M164" s="63" t="n">
        <f aca="false">MAX(O164:U164)</f>
        <v>3.8</v>
      </c>
      <c r="N164" s="15" t="n">
        <f aca="false">COUNTIF(M164,"&gt;9.9")</f>
        <v>0</v>
      </c>
      <c r="O164" s="2" t="n">
        <v>3.8</v>
      </c>
      <c r="V164" s="63" t="n">
        <f aca="false">PI()*POWER((O164/200),2)</f>
        <v>0.00113411494794592</v>
      </c>
      <c r="W164" s="63" t="n">
        <f aca="false">PI()*POWER((P164/200),2)</f>
        <v>0</v>
      </c>
      <c r="X164" s="63" t="n">
        <f aca="false">PI()*POWER((Q164/200),2)</f>
        <v>0</v>
      </c>
      <c r="Y164" s="63" t="n">
        <f aca="false">PI()*POWER((R164/200),2)</f>
        <v>0</v>
      </c>
      <c r="Z164" s="63" t="n">
        <f aca="false">PI()*POWER((S164/200),2)</f>
        <v>0</v>
      </c>
      <c r="AA164" s="63" t="n">
        <f aca="false">PI()*POWER((T164/200),2)</f>
        <v>0</v>
      </c>
      <c r="AB164" s="63" t="n">
        <f aca="false">PI()*POWER((U164/200),2)</f>
        <v>0</v>
      </c>
    </row>
    <row r="165" customFormat="false" ht="15" hidden="false" customHeight="false" outlineLevel="0" collapsed="false">
      <c r="A165" s="2" t="s">
        <v>20</v>
      </c>
      <c r="B165" s="2" t="n">
        <v>2</v>
      </c>
      <c r="C165" s="33" t="n">
        <v>46264</v>
      </c>
      <c r="D165" s="2" t="n">
        <v>2</v>
      </c>
      <c r="E165" s="2" t="s">
        <v>26</v>
      </c>
      <c r="F165" s="2" t="s">
        <v>27</v>
      </c>
      <c r="G165" s="2" t="s">
        <v>28</v>
      </c>
      <c r="H165" s="2" t="s">
        <v>95</v>
      </c>
      <c r="I165" s="2" t="s">
        <v>30</v>
      </c>
      <c r="J165" s="2" t="n">
        <v>49</v>
      </c>
      <c r="K165" s="32" t="s">
        <v>103</v>
      </c>
      <c r="L165" s="63" t="n">
        <f aca="false">SUM(V165:AB165)</f>
        <v>0.00113411494794592</v>
      </c>
      <c r="M165" s="63" t="n">
        <f aca="false">MAX(O165:U165)</f>
        <v>3.8</v>
      </c>
      <c r="N165" s="15" t="n">
        <f aca="false">COUNTIF(M165,"&gt;9.9")</f>
        <v>0</v>
      </c>
      <c r="O165" s="2" t="n">
        <v>3.8</v>
      </c>
      <c r="V165" s="63" t="n">
        <f aca="false">PI()*POWER((O165/200),2)</f>
        <v>0.00113411494794592</v>
      </c>
      <c r="W165" s="63" t="n">
        <f aca="false">PI()*POWER((P165/200),2)</f>
        <v>0</v>
      </c>
      <c r="X165" s="63" t="n">
        <f aca="false">PI()*POWER((Q165/200),2)</f>
        <v>0</v>
      </c>
      <c r="Y165" s="63" t="n">
        <f aca="false">PI()*POWER((R165/200),2)</f>
        <v>0</v>
      </c>
      <c r="Z165" s="63" t="n">
        <f aca="false">PI()*POWER((S165/200),2)</f>
        <v>0</v>
      </c>
      <c r="AA165" s="63" t="n">
        <f aca="false">PI()*POWER((T165/200),2)</f>
        <v>0</v>
      </c>
      <c r="AB165" s="63" t="n">
        <f aca="false">PI()*POWER((U165/200),2)</f>
        <v>0</v>
      </c>
    </row>
    <row r="166" customFormat="false" ht="15" hidden="false" customHeight="false" outlineLevel="0" collapsed="false">
      <c r="A166" s="2" t="s">
        <v>20</v>
      </c>
      <c r="B166" s="2" t="n">
        <v>2</v>
      </c>
      <c r="C166" s="33" t="n">
        <v>46264</v>
      </c>
      <c r="D166" s="2" t="n">
        <v>2</v>
      </c>
      <c r="E166" s="2" t="s">
        <v>26</v>
      </c>
      <c r="F166" s="2" t="s">
        <v>27</v>
      </c>
      <c r="G166" s="2" t="s">
        <v>28</v>
      </c>
      <c r="H166" s="2" t="s">
        <v>95</v>
      </c>
      <c r="I166" s="2" t="s">
        <v>30</v>
      </c>
      <c r="J166" s="2" t="n">
        <v>42</v>
      </c>
      <c r="K166" s="32" t="s">
        <v>103</v>
      </c>
      <c r="L166" s="63" t="n">
        <f aca="false">SUM(V166:AB166)</f>
        <v>0.00180955736846772</v>
      </c>
      <c r="M166" s="63" t="n">
        <f aca="false">MAX(O166:U166)</f>
        <v>4.8</v>
      </c>
      <c r="N166" s="15" t="n">
        <f aca="false">COUNTIF(M166,"&gt;9.9")</f>
        <v>0</v>
      </c>
      <c r="O166" s="2" t="n">
        <v>4.8</v>
      </c>
      <c r="V166" s="63" t="n">
        <f aca="false">PI()*POWER((O166/200),2)</f>
        <v>0.00180955736846772</v>
      </c>
      <c r="W166" s="63" t="n">
        <f aca="false">PI()*POWER((P166/200),2)</f>
        <v>0</v>
      </c>
      <c r="X166" s="63" t="n">
        <f aca="false">PI()*POWER((Q166/200),2)</f>
        <v>0</v>
      </c>
      <c r="Y166" s="63" t="n">
        <f aca="false">PI()*POWER((R166/200),2)</f>
        <v>0</v>
      </c>
      <c r="Z166" s="63" t="n">
        <f aca="false">PI()*POWER((S166/200),2)</f>
        <v>0</v>
      </c>
      <c r="AA166" s="63" t="n">
        <f aca="false">PI()*POWER((T166/200),2)</f>
        <v>0</v>
      </c>
      <c r="AB166" s="63" t="n">
        <f aca="false">PI()*POWER((U166/200),2)</f>
        <v>0</v>
      </c>
    </row>
    <row r="167" customFormat="false" ht="15" hidden="false" customHeight="false" outlineLevel="0" collapsed="false">
      <c r="A167" s="2" t="s">
        <v>20</v>
      </c>
      <c r="B167" s="2" t="n">
        <v>2</v>
      </c>
      <c r="C167" s="33" t="n">
        <v>46264</v>
      </c>
      <c r="D167" s="2" t="n">
        <v>2</v>
      </c>
      <c r="E167" s="2" t="s">
        <v>26</v>
      </c>
      <c r="F167" s="2" t="s">
        <v>27</v>
      </c>
      <c r="G167" s="2" t="s">
        <v>28</v>
      </c>
      <c r="H167" s="2" t="s">
        <v>95</v>
      </c>
      <c r="I167" s="2" t="s">
        <v>30</v>
      </c>
      <c r="J167" s="2" t="n">
        <v>41</v>
      </c>
      <c r="K167" s="32" t="s">
        <v>103</v>
      </c>
      <c r="L167" s="63" t="n">
        <f aca="false">SUM(V167:AB167)</f>
        <v>0.00196349540849362</v>
      </c>
      <c r="M167" s="63" t="n">
        <f aca="false">MAX(O167:U167)</f>
        <v>5</v>
      </c>
      <c r="N167" s="15" t="n">
        <f aca="false">COUNTIF(M167,"&gt;9.9")</f>
        <v>0</v>
      </c>
      <c r="O167" s="2" t="n">
        <v>5</v>
      </c>
      <c r="V167" s="63" t="n">
        <f aca="false">PI()*POWER((O167/200),2)</f>
        <v>0.00196349540849362</v>
      </c>
      <c r="W167" s="63" t="n">
        <f aca="false">PI()*POWER((P167/200),2)</f>
        <v>0</v>
      </c>
      <c r="X167" s="63" t="n">
        <f aca="false">PI()*POWER((Q167/200),2)</f>
        <v>0</v>
      </c>
      <c r="Y167" s="63" t="n">
        <f aca="false">PI()*POWER((R167/200),2)</f>
        <v>0</v>
      </c>
      <c r="Z167" s="63" t="n">
        <f aca="false">PI()*POWER((S167/200),2)</f>
        <v>0</v>
      </c>
      <c r="AA167" s="63" t="n">
        <f aca="false">PI()*POWER((T167/200),2)</f>
        <v>0</v>
      </c>
      <c r="AB167" s="63" t="n">
        <f aca="false">PI()*POWER((U167/200),2)</f>
        <v>0</v>
      </c>
    </row>
    <row r="168" customFormat="false" ht="15" hidden="false" customHeight="false" outlineLevel="0" collapsed="false">
      <c r="A168" s="2" t="s">
        <v>20</v>
      </c>
      <c r="B168" s="2" t="n">
        <v>2</v>
      </c>
      <c r="C168" s="33" t="n">
        <v>46264</v>
      </c>
      <c r="D168" s="2" t="n">
        <v>2</v>
      </c>
      <c r="E168" s="2" t="s">
        <v>26</v>
      </c>
      <c r="F168" s="2" t="s">
        <v>27</v>
      </c>
      <c r="G168" s="2" t="s">
        <v>28</v>
      </c>
      <c r="H168" s="2" t="s">
        <v>95</v>
      </c>
      <c r="I168" s="2" t="s">
        <v>30</v>
      </c>
      <c r="J168" s="2" t="n">
        <v>14</v>
      </c>
      <c r="K168" s="32" t="s">
        <v>103</v>
      </c>
      <c r="L168" s="63" t="n">
        <f aca="false">SUM(V168:AB168)</f>
        <v>0.0036316811075498</v>
      </c>
      <c r="M168" s="63" t="n">
        <f aca="false">MAX(O168:U168)</f>
        <v>6</v>
      </c>
      <c r="N168" s="15" t="n">
        <f aca="false">COUNTIF(M168,"&gt;9.9")</f>
        <v>0</v>
      </c>
      <c r="O168" s="2" t="n">
        <v>6</v>
      </c>
      <c r="P168" s="2" t="n">
        <v>3.2</v>
      </c>
      <c r="V168" s="63" t="n">
        <f aca="false">PI()*POWER((O168/200),2)</f>
        <v>0.00282743338823081</v>
      </c>
      <c r="W168" s="63" t="n">
        <f aca="false">PI()*POWER((P168/200),2)</f>
        <v>0.000804247719318987</v>
      </c>
      <c r="X168" s="63" t="n">
        <f aca="false">PI()*POWER((Q168/200),2)</f>
        <v>0</v>
      </c>
      <c r="Y168" s="63" t="n">
        <f aca="false">PI()*POWER((R168/200),2)</f>
        <v>0</v>
      </c>
      <c r="Z168" s="63" t="n">
        <f aca="false">PI()*POWER((S168/200),2)</f>
        <v>0</v>
      </c>
      <c r="AA168" s="63" t="n">
        <f aca="false">PI()*POWER((T168/200),2)</f>
        <v>0</v>
      </c>
      <c r="AB168" s="63" t="n">
        <f aca="false">PI()*POWER((U168/200),2)</f>
        <v>0</v>
      </c>
    </row>
    <row r="169" customFormat="false" ht="15" hidden="false" customHeight="false" outlineLevel="0" collapsed="false">
      <c r="A169" s="2" t="s">
        <v>20</v>
      </c>
      <c r="B169" s="2" t="n">
        <v>2</v>
      </c>
      <c r="C169" s="33" t="n">
        <v>46264</v>
      </c>
      <c r="D169" s="2" t="n">
        <v>2</v>
      </c>
      <c r="E169" s="2" t="s">
        <v>26</v>
      </c>
      <c r="F169" s="2" t="s">
        <v>27</v>
      </c>
      <c r="G169" s="2" t="s">
        <v>28</v>
      </c>
      <c r="H169" s="2" t="s">
        <v>95</v>
      </c>
      <c r="I169" s="2" t="s">
        <v>30</v>
      </c>
      <c r="J169" s="2" t="n">
        <v>39</v>
      </c>
      <c r="K169" s="32" t="s">
        <v>103</v>
      </c>
      <c r="L169" s="63" t="n">
        <f aca="false">SUM(V169:AB169)</f>
        <v>0.00373928065593525</v>
      </c>
      <c r="M169" s="63" t="n">
        <f aca="false">MAX(O169:U169)</f>
        <v>6.9</v>
      </c>
      <c r="N169" s="15" t="n">
        <f aca="false">COUNTIF(M169,"&gt;9.9")</f>
        <v>0</v>
      </c>
      <c r="O169" s="2" t="n">
        <v>6.9</v>
      </c>
      <c r="V169" s="63" t="n">
        <f aca="false">PI()*POWER((O169/200),2)</f>
        <v>0.00373928065593525</v>
      </c>
      <c r="W169" s="63" t="n">
        <f aca="false">PI()*POWER((P169/200),2)</f>
        <v>0</v>
      </c>
      <c r="X169" s="63" t="n">
        <f aca="false">PI()*POWER((Q169/200),2)</f>
        <v>0</v>
      </c>
      <c r="Y169" s="63" t="n">
        <f aca="false">PI()*POWER((R169/200),2)</f>
        <v>0</v>
      </c>
      <c r="Z169" s="63" t="n">
        <f aca="false">PI()*POWER((S169/200),2)</f>
        <v>0</v>
      </c>
      <c r="AA169" s="63" t="n">
        <f aca="false">PI()*POWER((T169/200),2)</f>
        <v>0</v>
      </c>
      <c r="AB169" s="63" t="n">
        <f aca="false">PI()*POWER((U169/200),2)</f>
        <v>0</v>
      </c>
    </row>
    <row r="170" customFormat="false" ht="15" hidden="false" customHeight="false" outlineLevel="0" collapsed="false">
      <c r="A170" s="2" t="s">
        <v>20</v>
      </c>
      <c r="B170" s="2" t="n">
        <v>2</v>
      </c>
      <c r="C170" s="33" t="n">
        <v>46264</v>
      </c>
      <c r="D170" s="2" t="n">
        <v>2</v>
      </c>
      <c r="E170" s="2" t="s">
        <v>26</v>
      </c>
      <c r="F170" s="2" t="s">
        <v>27</v>
      </c>
      <c r="G170" s="2" t="s">
        <v>28</v>
      </c>
      <c r="H170" s="2" t="s">
        <v>95</v>
      </c>
      <c r="I170" s="2" t="s">
        <v>30</v>
      </c>
      <c r="J170" s="2" t="n">
        <v>11</v>
      </c>
      <c r="K170" s="32" t="s">
        <v>103</v>
      </c>
      <c r="L170" s="63" t="n">
        <f aca="false">SUM(V170:AB170)</f>
        <v>0.00961641511263836</v>
      </c>
      <c r="M170" s="63" t="n">
        <f aca="false">MAX(O170:U170)</f>
        <v>11</v>
      </c>
      <c r="N170" s="15" t="n">
        <f aca="false">COUNTIF(M170,"&gt;9.9")</f>
        <v>1</v>
      </c>
      <c r="O170" s="2" t="n">
        <v>1.2</v>
      </c>
      <c r="P170" s="2" t="n">
        <v>11</v>
      </c>
      <c r="V170" s="63" t="n">
        <f aca="false">PI()*POWER((O170/200),2)</f>
        <v>0.000113097335529233</v>
      </c>
      <c r="W170" s="63" t="n">
        <f aca="false">PI()*POWER((P170/200),2)</f>
        <v>0.00950331777710912</v>
      </c>
      <c r="X170" s="63" t="n">
        <f aca="false">PI()*POWER((Q170/200),2)</f>
        <v>0</v>
      </c>
      <c r="Y170" s="63" t="n">
        <f aca="false">PI()*POWER((R170/200),2)</f>
        <v>0</v>
      </c>
      <c r="Z170" s="63" t="n">
        <f aca="false">PI()*POWER((S170/200),2)</f>
        <v>0</v>
      </c>
      <c r="AA170" s="63" t="n">
        <f aca="false">PI()*POWER((T170/200),2)</f>
        <v>0</v>
      </c>
      <c r="AB170" s="63" t="n">
        <f aca="false">PI()*POWER((U170/200),2)</f>
        <v>0</v>
      </c>
    </row>
    <row r="171" customFormat="false" ht="15" hidden="false" customHeight="false" outlineLevel="0" collapsed="false">
      <c r="A171" s="2" t="s">
        <v>20</v>
      </c>
      <c r="B171" s="2" t="n">
        <v>2</v>
      </c>
      <c r="C171" s="33" t="n">
        <v>46264</v>
      </c>
      <c r="D171" s="2" t="n">
        <v>2</v>
      </c>
      <c r="E171" s="2" t="s">
        <v>26</v>
      </c>
      <c r="F171" s="2" t="s">
        <v>27</v>
      </c>
      <c r="G171" s="2" t="s">
        <v>28</v>
      </c>
      <c r="H171" s="2" t="s">
        <v>95</v>
      </c>
      <c r="I171" s="2" t="s">
        <v>30</v>
      </c>
      <c r="J171" s="2" t="n">
        <v>40</v>
      </c>
      <c r="K171" s="32" t="s">
        <v>103</v>
      </c>
      <c r="L171" s="63" t="n">
        <f aca="false">SUM(V171:AB171)</f>
        <v>0.0453371089821177</v>
      </c>
      <c r="M171" s="63" t="n">
        <f aca="false">MAX(O171:U171)</f>
        <v>23.5</v>
      </c>
      <c r="N171" s="15" t="n">
        <f aca="false">COUNTIF(M171,"&gt;9.9")</f>
        <v>1</v>
      </c>
      <c r="O171" s="2" t="n">
        <v>23.5</v>
      </c>
      <c r="P171" s="2" t="n">
        <v>5</v>
      </c>
      <c r="V171" s="63" t="n">
        <f aca="false">PI()*POWER((O171/200),2)</f>
        <v>0.0433736135736241</v>
      </c>
      <c r="W171" s="63" t="n">
        <f aca="false">PI()*POWER((P171/200),2)</f>
        <v>0.00196349540849362</v>
      </c>
      <c r="X171" s="63" t="n">
        <f aca="false">PI()*POWER((Q171/200),2)</f>
        <v>0</v>
      </c>
      <c r="Y171" s="63" t="n">
        <f aca="false">PI()*POWER((R171/200),2)</f>
        <v>0</v>
      </c>
      <c r="Z171" s="63" t="n">
        <f aca="false">PI()*POWER((S171/200),2)</f>
        <v>0</v>
      </c>
      <c r="AA171" s="63" t="n">
        <f aca="false">PI()*POWER((T171/200),2)</f>
        <v>0</v>
      </c>
      <c r="AB171" s="63" t="n">
        <f aca="false">PI()*POWER((U171/200),2)</f>
        <v>0</v>
      </c>
    </row>
    <row r="172" customFormat="false" ht="15" hidden="false" customHeight="false" outlineLevel="0" collapsed="false">
      <c r="A172" s="2" t="s">
        <v>20</v>
      </c>
      <c r="B172" s="2" t="n">
        <v>2</v>
      </c>
      <c r="C172" s="33" t="n">
        <v>46264</v>
      </c>
      <c r="D172" s="2" t="n">
        <v>2</v>
      </c>
      <c r="E172" s="2" t="s">
        <v>26</v>
      </c>
      <c r="F172" s="2" t="s">
        <v>27</v>
      </c>
      <c r="G172" s="2" t="s">
        <v>28</v>
      </c>
      <c r="H172" s="2" t="s">
        <v>95</v>
      </c>
      <c r="I172" s="2" t="s">
        <v>30</v>
      </c>
      <c r="J172" s="2" t="n">
        <v>45</v>
      </c>
      <c r="K172" s="32" t="s">
        <v>103</v>
      </c>
      <c r="L172" s="63" t="n">
        <f aca="false">SUM(V172:AB172)</f>
        <v>0.0530340109834127</v>
      </c>
      <c r="M172" s="63" t="n">
        <f aca="false">MAX(O172:U172)</f>
        <v>25.5</v>
      </c>
      <c r="N172" s="15" t="n">
        <f aca="false">COUNTIF(M172,"&gt;9.9")</f>
        <v>1</v>
      </c>
      <c r="O172" s="2" t="n">
        <v>25.5</v>
      </c>
      <c r="P172" s="2" t="n">
        <v>5</v>
      </c>
      <c r="V172" s="63" t="n">
        <f aca="false">PI()*POWER((O172/200),2)</f>
        <v>0.0510705155749191</v>
      </c>
      <c r="W172" s="63" t="n">
        <f aca="false">PI()*POWER((P172/200),2)</f>
        <v>0.00196349540849362</v>
      </c>
      <c r="X172" s="63" t="n">
        <f aca="false">PI()*POWER((Q172/200),2)</f>
        <v>0</v>
      </c>
      <c r="Y172" s="63" t="n">
        <f aca="false">PI()*POWER((R172/200),2)</f>
        <v>0</v>
      </c>
      <c r="Z172" s="63" t="n">
        <f aca="false">PI()*POWER((S172/200),2)</f>
        <v>0</v>
      </c>
      <c r="AA172" s="63" t="n">
        <f aca="false">PI()*POWER((T172/200),2)</f>
        <v>0</v>
      </c>
      <c r="AB172" s="63" t="n">
        <f aca="false">PI()*POWER((U172/200),2)</f>
        <v>0</v>
      </c>
    </row>
    <row r="173" customFormat="false" ht="15" hidden="false" customHeight="false" outlineLevel="0" collapsed="false">
      <c r="A173" s="2" t="s">
        <v>20</v>
      </c>
      <c r="B173" s="2" t="n">
        <v>2</v>
      </c>
      <c r="C173" s="33" t="n">
        <v>46264</v>
      </c>
      <c r="D173" s="2" t="n">
        <v>2</v>
      </c>
      <c r="E173" s="2" t="s">
        <v>26</v>
      </c>
      <c r="F173" s="2" t="s">
        <v>27</v>
      </c>
      <c r="G173" s="2" t="s">
        <v>28</v>
      </c>
      <c r="H173" s="2" t="s">
        <v>95</v>
      </c>
      <c r="I173" s="2" t="s">
        <v>30</v>
      </c>
      <c r="J173" s="2" t="n">
        <v>10</v>
      </c>
      <c r="K173" s="32" t="s">
        <v>103</v>
      </c>
      <c r="L173" s="63" t="n">
        <f aca="false">SUM(V173:AB173)</f>
        <v>0.10196353116491</v>
      </c>
      <c r="M173" s="63" t="n">
        <f aca="false">MAX(O173:U173)</f>
        <v>33.2</v>
      </c>
      <c r="N173" s="15" t="n">
        <f aca="false">COUNTIF(M173,"&gt;9.9")</f>
        <v>1</v>
      </c>
      <c r="O173" s="2" t="n">
        <v>33.2</v>
      </c>
      <c r="P173" s="2" t="n">
        <v>14</v>
      </c>
      <c r="V173" s="63" t="n">
        <f aca="false">PI()*POWER((O173/200),2)</f>
        <v>0.0865697271623204</v>
      </c>
      <c r="W173" s="63" t="n">
        <f aca="false">PI()*POWER((P173/200),2)</f>
        <v>0.01539380400259</v>
      </c>
      <c r="X173" s="63" t="n">
        <f aca="false">PI()*POWER((Q173/200),2)</f>
        <v>0</v>
      </c>
      <c r="Y173" s="63" t="n">
        <f aca="false">PI()*POWER((R173/200),2)</f>
        <v>0</v>
      </c>
      <c r="Z173" s="63" t="n">
        <f aca="false">PI()*POWER((S173/200),2)</f>
        <v>0</v>
      </c>
      <c r="AA173" s="63" t="n">
        <f aca="false">PI()*POWER((T173/200),2)</f>
        <v>0</v>
      </c>
      <c r="AB173" s="63" t="n">
        <f aca="false">PI()*POWER((U173/200),2)</f>
        <v>0</v>
      </c>
    </row>
    <row r="174" customFormat="false" ht="15" hidden="false" customHeight="false" outlineLevel="0" collapsed="false">
      <c r="A174" s="2" t="s">
        <v>20</v>
      </c>
      <c r="B174" s="2" t="n">
        <v>2</v>
      </c>
      <c r="C174" s="33" t="n">
        <v>46264</v>
      </c>
      <c r="D174" s="2" t="n">
        <v>2</v>
      </c>
      <c r="E174" s="2" t="s">
        <v>26</v>
      </c>
      <c r="F174" s="2" t="s">
        <v>27</v>
      </c>
      <c r="G174" s="2" t="s">
        <v>28</v>
      </c>
      <c r="H174" s="2" t="s">
        <v>95</v>
      </c>
      <c r="I174" s="2" t="s">
        <v>30</v>
      </c>
      <c r="J174" s="2" t="n">
        <v>48</v>
      </c>
      <c r="K174" s="32" t="s">
        <v>103</v>
      </c>
      <c r="L174" s="63" t="n">
        <f aca="false">SUM(V174:AB174)</f>
        <v>0.255175863287831</v>
      </c>
      <c r="M174" s="63" t="n">
        <f aca="false">MAX(O174:U174)</f>
        <v>57</v>
      </c>
      <c r="N174" s="15" t="n">
        <f aca="false">COUNTIF(M174,"&gt;9.9")</f>
        <v>1</v>
      </c>
      <c r="O174" s="2" t="n">
        <v>57</v>
      </c>
      <c r="V174" s="63" t="n">
        <f aca="false">PI()*POWER((O174/200),2)</f>
        <v>0.255175863287831</v>
      </c>
      <c r="W174" s="63" t="n">
        <f aca="false">PI()*POWER((P174/200),2)</f>
        <v>0</v>
      </c>
      <c r="X174" s="63" t="n">
        <f aca="false">PI()*POWER((Q174/200),2)</f>
        <v>0</v>
      </c>
      <c r="Y174" s="63" t="n">
        <f aca="false">PI()*POWER((R174/200),2)</f>
        <v>0</v>
      </c>
      <c r="Z174" s="63" t="n">
        <f aca="false">PI()*POWER((S174/200),2)</f>
        <v>0</v>
      </c>
      <c r="AA174" s="63" t="n">
        <f aca="false">PI()*POWER((T174/200),2)</f>
        <v>0</v>
      </c>
      <c r="AB174" s="63" t="n">
        <f aca="false">PI()*POWER((U174/200),2)</f>
        <v>0</v>
      </c>
    </row>
    <row r="175" customFormat="false" ht="15" hidden="false" customHeight="false" outlineLevel="0" collapsed="false">
      <c r="A175" s="2" t="s">
        <v>20</v>
      </c>
      <c r="B175" s="2" t="n">
        <v>2</v>
      </c>
      <c r="C175" s="33" t="n">
        <v>46264</v>
      </c>
      <c r="D175" s="2" t="n">
        <v>2</v>
      </c>
      <c r="E175" s="2" t="s">
        <v>26</v>
      </c>
      <c r="F175" s="2" t="s">
        <v>27</v>
      </c>
      <c r="G175" s="2" t="s">
        <v>28</v>
      </c>
      <c r="H175" s="2" t="s">
        <v>95</v>
      </c>
      <c r="I175" s="2" t="s">
        <v>30</v>
      </c>
      <c r="J175" s="2" t="n">
        <v>12</v>
      </c>
      <c r="K175" s="32" t="s">
        <v>142</v>
      </c>
      <c r="L175" s="63" t="n">
        <f aca="false">SUM(V175:AB175)</f>
        <v>0.00769768739945839</v>
      </c>
      <c r="M175" s="63" t="n">
        <f aca="false">MAX(O175:U175)</f>
        <v>9.9</v>
      </c>
      <c r="N175" s="15" t="n">
        <f aca="false">COUNTIF(M175,"&gt;9.9")</f>
        <v>0</v>
      </c>
      <c r="O175" s="2" t="n">
        <v>9.9</v>
      </c>
      <c r="V175" s="63" t="n">
        <f aca="false">PI()*POWER((O175/200),2)</f>
        <v>0.00769768739945839</v>
      </c>
      <c r="W175" s="63" t="n">
        <f aca="false">PI()*POWER((P175/200),2)</f>
        <v>0</v>
      </c>
      <c r="X175" s="63" t="n">
        <f aca="false">PI()*POWER((Q175/200),2)</f>
        <v>0</v>
      </c>
      <c r="Y175" s="63" t="n">
        <f aca="false">PI()*POWER((R175/200),2)</f>
        <v>0</v>
      </c>
      <c r="Z175" s="63" t="n">
        <f aca="false">PI()*POWER((S175/200),2)</f>
        <v>0</v>
      </c>
      <c r="AA175" s="63" t="n">
        <f aca="false">PI()*POWER((T175/200),2)</f>
        <v>0</v>
      </c>
      <c r="AB175" s="63" t="n">
        <f aca="false">PI()*POWER((U175/200),2)</f>
        <v>0</v>
      </c>
    </row>
    <row r="176" customFormat="false" ht="15" hidden="false" customHeight="false" outlineLevel="0" collapsed="false">
      <c r="A176" s="2" t="s">
        <v>20</v>
      </c>
      <c r="B176" s="2" t="n">
        <v>2</v>
      </c>
      <c r="C176" s="33" t="n">
        <v>46264</v>
      </c>
      <c r="D176" s="2" t="n">
        <v>2</v>
      </c>
      <c r="E176" s="2" t="s">
        <v>26</v>
      </c>
      <c r="F176" s="2" t="s">
        <v>27</v>
      </c>
      <c r="G176" s="2" t="s">
        <v>28</v>
      </c>
      <c r="H176" s="2" t="s">
        <v>95</v>
      </c>
      <c r="I176" s="2" t="s">
        <v>30</v>
      </c>
      <c r="J176" s="2" t="n">
        <v>6</v>
      </c>
      <c r="K176" s="32" t="s">
        <v>142</v>
      </c>
      <c r="L176" s="63" t="n">
        <f aca="false">SUM(V176:AB176)</f>
        <v>0.00950331777710912</v>
      </c>
      <c r="M176" s="63" t="n">
        <f aca="false">MAX(O176:U176)</f>
        <v>11</v>
      </c>
      <c r="N176" s="15" t="n">
        <f aca="false">COUNTIF(M176,"&gt;9.9")</f>
        <v>1</v>
      </c>
      <c r="O176" s="2" t="n">
        <v>11</v>
      </c>
      <c r="V176" s="63" t="n">
        <f aca="false">PI()*POWER((O176/200),2)</f>
        <v>0.00950331777710912</v>
      </c>
      <c r="W176" s="63" t="n">
        <f aca="false">PI()*POWER((P176/200),2)</f>
        <v>0</v>
      </c>
      <c r="X176" s="63" t="n">
        <f aca="false">PI()*POWER((Q176/200),2)</f>
        <v>0</v>
      </c>
      <c r="Y176" s="63" t="n">
        <f aca="false">PI()*POWER((R176/200),2)</f>
        <v>0</v>
      </c>
      <c r="Z176" s="63" t="n">
        <f aca="false">PI()*POWER((S176/200),2)</f>
        <v>0</v>
      </c>
      <c r="AA176" s="63" t="n">
        <f aca="false">PI()*POWER((T176/200),2)</f>
        <v>0</v>
      </c>
      <c r="AB176" s="63" t="n">
        <f aca="false">PI()*POWER((U176/200),2)</f>
        <v>0</v>
      </c>
    </row>
    <row r="177" customFormat="false" ht="15" hidden="false" customHeight="false" outlineLevel="0" collapsed="false">
      <c r="A177" s="2" t="s">
        <v>20</v>
      </c>
      <c r="B177" s="2" t="n">
        <v>2</v>
      </c>
      <c r="C177" s="33" t="n">
        <v>46264</v>
      </c>
      <c r="D177" s="2" t="n">
        <v>2</v>
      </c>
      <c r="E177" s="2" t="s">
        <v>26</v>
      </c>
      <c r="F177" s="2" t="s">
        <v>27</v>
      </c>
      <c r="G177" s="2" t="s">
        <v>28</v>
      </c>
      <c r="H177" s="2" t="s">
        <v>95</v>
      </c>
      <c r="I177" s="2" t="s">
        <v>30</v>
      </c>
      <c r="J177" s="2" t="n">
        <v>19</v>
      </c>
      <c r="K177" s="32" t="s">
        <v>142</v>
      </c>
      <c r="L177" s="63" t="n">
        <f aca="false">SUM(V177:AB177)</f>
        <v>0.282743338823081</v>
      </c>
      <c r="M177" s="63" t="n">
        <f aca="false">MAX(O177:U177)</f>
        <v>60</v>
      </c>
      <c r="N177" s="15" t="n">
        <f aca="false">COUNTIF(M177,"&gt;9.9")</f>
        <v>1</v>
      </c>
      <c r="O177" s="2" t="n">
        <v>60</v>
      </c>
      <c r="V177" s="63" t="n">
        <f aca="false">PI()*POWER((O177/200),2)</f>
        <v>0.282743338823081</v>
      </c>
      <c r="W177" s="63" t="n">
        <f aca="false">PI()*POWER((P177/200),2)</f>
        <v>0</v>
      </c>
      <c r="X177" s="63" t="n">
        <f aca="false">PI()*POWER((Q177/200),2)</f>
        <v>0</v>
      </c>
      <c r="Y177" s="63" t="n">
        <f aca="false">PI()*POWER((R177/200),2)</f>
        <v>0</v>
      </c>
      <c r="Z177" s="63" t="n">
        <f aca="false">PI()*POWER((S177/200),2)</f>
        <v>0</v>
      </c>
      <c r="AA177" s="63" t="n">
        <f aca="false">PI()*POWER((T177/200),2)</f>
        <v>0</v>
      </c>
      <c r="AB177" s="63" t="n">
        <f aca="false">PI()*POWER((U177/200),2)</f>
        <v>0</v>
      </c>
    </row>
    <row r="178" customFormat="false" ht="15" hidden="false" customHeight="false" outlineLevel="0" collapsed="false">
      <c r="A178" s="2" t="s">
        <v>20</v>
      </c>
      <c r="B178" s="2" t="n">
        <v>2</v>
      </c>
      <c r="C178" s="33" t="n">
        <v>46264</v>
      </c>
      <c r="D178" s="2" t="n">
        <v>2</v>
      </c>
      <c r="E178" s="2" t="s">
        <v>26</v>
      </c>
      <c r="F178" s="2" t="s">
        <v>27</v>
      </c>
      <c r="G178" s="2" t="s">
        <v>28</v>
      </c>
      <c r="H178" s="2" t="s">
        <v>95</v>
      </c>
      <c r="I178" s="2" t="s">
        <v>30</v>
      </c>
      <c r="J178" s="2" t="n">
        <v>24</v>
      </c>
      <c r="K178" s="32" t="s">
        <v>142</v>
      </c>
      <c r="L178" s="63" t="n">
        <f aca="false">SUM(V178:AB178)</f>
        <v>0.301907054009979</v>
      </c>
      <c r="M178" s="63" t="n">
        <f aca="false">MAX(O178:U178)</f>
        <v>62</v>
      </c>
      <c r="N178" s="15" t="n">
        <f aca="false">COUNTIF(M178,"&gt;9.9")</f>
        <v>1</v>
      </c>
      <c r="O178" s="2" t="n">
        <v>62</v>
      </c>
      <c r="V178" s="63" t="n">
        <f aca="false">PI()*POWER((O178/200),2)</f>
        <v>0.301907054009979</v>
      </c>
      <c r="W178" s="63" t="n">
        <f aca="false">PI()*POWER((P178/200),2)</f>
        <v>0</v>
      </c>
      <c r="X178" s="63" t="n">
        <f aca="false">PI()*POWER((Q178/200),2)</f>
        <v>0</v>
      </c>
      <c r="Y178" s="63" t="n">
        <f aca="false">PI()*POWER((R178/200),2)</f>
        <v>0</v>
      </c>
      <c r="Z178" s="63" t="n">
        <f aca="false">PI()*POWER((S178/200),2)</f>
        <v>0</v>
      </c>
      <c r="AA178" s="63" t="n">
        <f aca="false">PI()*POWER((T178/200),2)</f>
        <v>0</v>
      </c>
      <c r="AB178" s="63" t="n">
        <f aca="false">PI()*POWER((U178/200),2)</f>
        <v>0</v>
      </c>
    </row>
    <row r="179" customFormat="false" ht="15" hidden="false" customHeight="false" outlineLevel="0" collapsed="false">
      <c r="A179" s="2" t="s">
        <v>20</v>
      </c>
      <c r="B179" s="2" t="n">
        <v>2</v>
      </c>
      <c r="C179" s="33" t="n">
        <v>46264</v>
      </c>
      <c r="D179" s="2" t="n">
        <v>2</v>
      </c>
      <c r="E179" s="2" t="s">
        <v>26</v>
      </c>
      <c r="F179" s="2" t="s">
        <v>27</v>
      </c>
      <c r="G179" s="2" t="s">
        <v>28</v>
      </c>
      <c r="H179" s="2" t="s">
        <v>95</v>
      </c>
      <c r="I179" s="2" t="s">
        <v>30</v>
      </c>
      <c r="J179" s="2" t="n">
        <v>32</v>
      </c>
      <c r="K179" s="32" t="s">
        <v>142</v>
      </c>
      <c r="L179" s="63" t="n">
        <f aca="false">SUM(V179:AB179)</f>
        <v>0.38484510006475</v>
      </c>
      <c r="M179" s="63" t="n">
        <f aca="false">MAX(O179:U179)</f>
        <v>70</v>
      </c>
      <c r="N179" s="15" t="n">
        <f aca="false">COUNTIF(M179,"&gt;9.9")</f>
        <v>1</v>
      </c>
      <c r="O179" s="2" t="n">
        <v>70</v>
      </c>
      <c r="V179" s="63" t="n">
        <f aca="false">PI()*POWER((O179/200),2)</f>
        <v>0.38484510006475</v>
      </c>
      <c r="W179" s="63" t="n">
        <f aca="false">PI()*POWER((P179/200),2)</f>
        <v>0</v>
      </c>
      <c r="X179" s="63" t="n">
        <f aca="false">PI()*POWER((Q179/200),2)</f>
        <v>0</v>
      </c>
      <c r="Y179" s="63" t="n">
        <f aca="false">PI()*POWER((R179/200),2)</f>
        <v>0</v>
      </c>
      <c r="Z179" s="63" t="n">
        <f aca="false">PI()*POWER((S179/200),2)</f>
        <v>0</v>
      </c>
      <c r="AA179" s="63" t="n">
        <f aca="false">PI()*POWER((T179/200),2)</f>
        <v>0</v>
      </c>
      <c r="AB179" s="63" t="n">
        <f aca="false">PI()*POWER((U179/200),2)</f>
        <v>0</v>
      </c>
    </row>
    <row r="180" customFormat="false" ht="15" hidden="false" customHeight="false" outlineLevel="0" collapsed="false">
      <c r="A180" s="2" t="s">
        <v>20</v>
      </c>
      <c r="B180" s="2" t="n">
        <v>2</v>
      </c>
      <c r="C180" s="33" t="n">
        <v>46264</v>
      </c>
      <c r="D180" s="2" t="n">
        <v>2</v>
      </c>
      <c r="E180" s="2" t="s">
        <v>26</v>
      </c>
      <c r="F180" s="2" t="s">
        <v>27</v>
      </c>
      <c r="G180" s="2" t="s">
        <v>28</v>
      </c>
      <c r="H180" s="2" t="s">
        <v>95</v>
      </c>
      <c r="I180" s="2" t="s">
        <v>30</v>
      </c>
      <c r="J180" s="2" t="n">
        <v>34</v>
      </c>
      <c r="K180" s="2" t="s">
        <v>143</v>
      </c>
      <c r="L180" s="63" t="n">
        <f aca="false">SUM(V180:AB180)</f>
        <v>0.0013854423602331</v>
      </c>
      <c r="M180" s="63" t="n">
        <f aca="false">MAX(O180:U180)</f>
        <v>4.2</v>
      </c>
      <c r="N180" s="15" t="n">
        <f aca="false">COUNTIF(M180,"&gt;9.9")</f>
        <v>0</v>
      </c>
      <c r="O180" s="2" t="n">
        <v>4.2</v>
      </c>
      <c r="V180" s="63" t="n">
        <f aca="false">PI()*POWER((O180/200),2)</f>
        <v>0.0013854423602331</v>
      </c>
      <c r="W180" s="63" t="n">
        <f aca="false">PI()*POWER((P180/200),2)</f>
        <v>0</v>
      </c>
      <c r="X180" s="63" t="n">
        <f aca="false">PI()*POWER((Q180/200),2)</f>
        <v>0</v>
      </c>
      <c r="Y180" s="63" t="n">
        <f aca="false">PI()*POWER((R180/200),2)</f>
        <v>0</v>
      </c>
      <c r="Z180" s="63" t="n">
        <f aca="false">PI()*POWER((S180/200),2)</f>
        <v>0</v>
      </c>
      <c r="AA180" s="63" t="n">
        <f aca="false">PI()*POWER((T180/200),2)</f>
        <v>0</v>
      </c>
      <c r="AB180" s="63" t="n">
        <f aca="false">PI()*POWER((U180/200),2)</f>
        <v>0</v>
      </c>
    </row>
    <row r="181" customFormat="false" ht="15" hidden="false" customHeight="false" outlineLevel="0" collapsed="false">
      <c r="A181" s="2" t="s">
        <v>20</v>
      </c>
      <c r="B181" s="2" t="n">
        <v>2</v>
      </c>
      <c r="C181" s="33" t="n">
        <v>46264</v>
      </c>
      <c r="D181" s="2" t="n">
        <v>2</v>
      </c>
      <c r="E181" s="2" t="s">
        <v>26</v>
      </c>
      <c r="F181" s="2" t="s">
        <v>27</v>
      </c>
      <c r="G181" s="2" t="s">
        <v>28</v>
      </c>
      <c r="H181" s="2" t="s">
        <v>95</v>
      </c>
      <c r="I181" s="2" t="s">
        <v>30</v>
      </c>
      <c r="J181" s="2" t="n">
        <v>35</v>
      </c>
      <c r="K181" s="2" t="s">
        <v>143</v>
      </c>
      <c r="L181" s="63" t="n">
        <f aca="false">SUM(V181:AB181)</f>
        <v>0.00950331777710912</v>
      </c>
      <c r="M181" s="63" t="n">
        <f aca="false">MAX(O181:U181)</f>
        <v>11</v>
      </c>
      <c r="N181" s="15" t="n">
        <f aca="false">COUNTIF(M181,"&gt;9.9")</f>
        <v>1</v>
      </c>
      <c r="O181" s="2" t="n">
        <v>11</v>
      </c>
      <c r="V181" s="63" t="n">
        <f aca="false">PI()*POWER((O181/200),2)</f>
        <v>0.00950331777710912</v>
      </c>
      <c r="W181" s="63" t="n">
        <f aca="false">PI()*POWER((P181/200),2)</f>
        <v>0</v>
      </c>
      <c r="X181" s="63" t="n">
        <f aca="false">PI()*POWER((Q181/200),2)</f>
        <v>0</v>
      </c>
      <c r="Y181" s="63" t="n">
        <f aca="false">PI()*POWER((R181/200),2)</f>
        <v>0</v>
      </c>
      <c r="Z181" s="63" t="n">
        <f aca="false">PI()*POWER((S181/200),2)</f>
        <v>0</v>
      </c>
      <c r="AA181" s="63" t="n">
        <f aca="false">PI()*POWER((T181/200),2)</f>
        <v>0</v>
      </c>
      <c r="AB181" s="63" t="n">
        <f aca="false">PI()*POWER((U181/200),2)</f>
        <v>0</v>
      </c>
    </row>
    <row r="182" customFormat="false" ht="15" hidden="false" customHeight="false" outlineLevel="0" collapsed="false">
      <c r="A182" s="2" t="s">
        <v>20</v>
      </c>
      <c r="B182" s="2" t="n">
        <v>2</v>
      </c>
      <c r="C182" s="33" t="n">
        <v>46264</v>
      </c>
      <c r="D182" s="2" t="n">
        <v>2</v>
      </c>
      <c r="E182" s="2" t="s">
        <v>26</v>
      </c>
      <c r="F182" s="2" t="s">
        <v>27</v>
      </c>
      <c r="G182" s="2" t="s">
        <v>28</v>
      </c>
      <c r="H182" s="2" t="s">
        <v>95</v>
      </c>
      <c r="I182" s="2" t="s">
        <v>30</v>
      </c>
      <c r="J182" s="2" t="n">
        <v>9</v>
      </c>
      <c r="K182" s="32" t="s">
        <v>144</v>
      </c>
      <c r="L182" s="63" t="n">
        <f aca="false">SUM(V182:AB182)</f>
        <v>0</v>
      </c>
      <c r="M182" s="63" t="n">
        <f aca="false">MAX(O182:U182)</f>
        <v>0</v>
      </c>
      <c r="N182" s="15" t="n">
        <f aca="false">COUNTIF(M182,"&gt;9.9")</f>
        <v>0</v>
      </c>
      <c r="O182" s="2" t="s">
        <v>88</v>
      </c>
      <c r="P182" s="2" t="s">
        <v>88</v>
      </c>
      <c r="V182" s="63"/>
      <c r="W182" s="63"/>
      <c r="X182" s="63" t="n">
        <f aca="false">PI()*POWER((Q182/200),2)</f>
        <v>0</v>
      </c>
      <c r="Y182" s="63" t="n">
        <f aca="false">PI()*POWER((R182/200),2)</f>
        <v>0</v>
      </c>
      <c r="Z182" s="63" t="n">
        <f aca="false">PI()*POWER((S182/200),2)</f>
        <v>0</v>
      </c>
      <c r="AA182" s="63" t="n">
        <f aca="false">PI()*POWER((T182/200),2)</f>
        <v>0</v>
      </c>
      <c r="AB182" s="63" t="n">
        <f aca="false">PI()*POWER((U182/200),2)</f>
        <v>0</v>
      </c>
    </row>
    <row r="183" customFormat="false" ht="15" hidden="false" customHeight="false" outlineLevel="0" collapsed="false">
      <c r="A183" s="2" t="s">
        <v>20</v>
      </c>
      <c r="B183" s="2" t="n">
        <v>2</v>
      </c>
      <c r="C183" s="33" t="n">
        <v>46264</v>
      </c>
      <c r="D183" s="2" t="n">
        <v>2</v>
      </c>
      <c r="E183" s="2" t="s">
        <v>26</v>
      </c>
      <c r="F183" s="2" t="s">
        <v>27</v>
      </c>
      <c r="G183" s="2" t="s">
        <v>28</v>
      </c>
      <c r="H183" s="2" t="s">
        <v>95</v>
      </c>
      <c r="I183" s="2" t="s">
        <v>30</v>
      </c>
      <c r="J183" s="2" t="n">
        <v>27</v>
      </c>
      <c r="K183" s="32" t="s">
        <v>144</v>
      </c>
      <c r="L183" s="63" t="n">
        <f aca="false">SUM(V183:AB183)</f>
        <v>0</v>
      </c>
      <c r="M183" s="63" t="n">
        <f aca="false">MAX(O183:U183)</f>
        <v>0</v>
      </c>
      <c r="N183" s="15" t="n">
        <f aca="false">COUNTIF(M183,"&gt;9.9")</f>
        <v>0</v>
      </c>
      <c r="O183" s="2" t="s">
        <v>88</v>
      </c>
      <c r="V183" s="63"/>
      <c r="W183" s="63" t="n">
        <f aca="false">PI()*POWER((P183/200),2)</f>
        <v>0</v>
      </c>
      <c r="X183" s="63" t="n">
        <f aca="false">PI()*POWER((Q183/200),2)</f>
        <v>0</v>
      </c>
      <c r="Y183" s="63" t="n">
        <f aca="false">PI()*POWER((R183/200),2)</f>
        <v>0</v>
      </c>
      <c r="Z183" s="63" t="n">
        <f aca="false">PI()*POWER((S183/200),2)</f>
        <v>0</v>
      </c>
      <c r="AA183" s="63" t="n">
        <f aca="false">PI()*POWER((T183/200),2)</f>
        <v>0</v>
      </c>
      <c r="AB183" s="63" t="n">
        <f aca="false">PI()*POWER((U183/200),2)</f>
        <v>0</v>
      </c>
    </row>
    <row r="184" customFormat="false" ht="15" hidden="false" customHeight="false" outlineLevel="0" collapsed="false">
      <c r="A184" s="2" t="s">
        <v>20</v>
      </c>
      <c r="B184" s="2" t="n">
        <v>2</v>
      </c>
      <c r="C184" s="33" t="n">
        <v>46264</v>
      </c>
      <c r="D184" s="2" t="n">
        <v>2</v>
      </c>
      <c r="E184" s="2" t="s">
        <v>26</v>
      </c>
      <c r="F184" s="2" t="s">
        <v>27</v>
      </c>
      <c r="G184" s="2" t="s">
        <v>28</v>
      </c>
      <c r="H184" s="2" t="s">
        <v>95</v>
      </c>
      <c r="I184" s="2" t="s">
        <v>30</v>
      </c>
      <c r="J184" s="2" t="n">
        <v>22</v>
      </c>
      <c r="K184" s="32" t="s">
        <v>144</v>
      </c>
      <c r="L184" s="63" t="n">
        <f aca="false">SUM(V184:AB184)</f>
        <v>0.000254469004940773</v>
      </c>
      <c r="M184" s="63" t="n">
        <f aca="false">MAX(O184:U184)</f>
        <v>1.8</v>
      </c>
      <c r="N184" s="15" t="n">
        <f aca="false">COUNTIF(M184,"&gt;9.9")</f>
        <v>0</v>
      </c>
      <c r="O184" s="2" t="n">
        <v>1.8</v>
      </c>
      <c r="V184" s="63" t="n">
        <f aca="false">PI()*POWER((O184/200),2)</f>
        <v>0.000254469004940773</v>
      </c>
      <c r="W184" s="63" t="n">
        <f aca="false">PI()*POWER((P184/200),2)</f>
        <v>0</v>
      </c>
      <c r="X184" s="63" t="n">
        <f aca="false">PI()*POWER((Q184/200),2)</f>
        <v>0</v>
      </c>
      <c r="Y184" s="63" t="n">
        <f aca="false">PI()*POWER((R184/200),2)</f>
        <v>0</v>
      </c>
      <c r="Z184" s="63" t="n">
        <f aca="false">PI()*POWER((S184/200),2)</f>
        <v>0</v>
      </c>
      <c r="AA184" s="63" t="n">
        <f aca="false">PI()*POWER((T184/200),2)</f>
        <v>0</v>
      </c>
      <c r="AB184" s="63" t="n">
        <f aca="false">PI()*POWER((U184/200),2)</f>
        <v>0</v>
      </c>
    </row>
    <row r="185" customFormat="false" ht="15" hidden="false" customHeight="false" outlineLevel="0" collapsed="false">
      <c r="A185" s="2" t="s">
        <v>20</v>
      </c>
      <c r="B185" s="2" t="n">
        <v>2</v>
      </c>
      <c r="C185" s="33" t="n">
        <v>46264</v>
      </c>
      <c r="D185" s="2" t="n">
        <v>2</v>
      </c>
      <c r="E185" s="2" t="s">
        <v>26</v>
      </c>
      <c r="F185" s="2" t="s">
        <v>27</v>
      </c>
      <c r="G185" s="2" t="s">
        <v>28</v>
      </c>
      <c r="H185" s="2" t="s">
        <v>95</v>
      </c>
      <c r="I185" s="2" t="s">
        <v>30</v>
      </c>
      <c r="J185" s="2" t="n">
        <v>8</v>
      </c>
      <c r="K185" s="32" t="s">
        <v>144</v>
      </c>
      <c r="L185" s="63" t="n">
        <f aca="false">SUM(V185:AB185)</f>
        <v>0.000314159265358979</v>
      </c>
      <c r="M185" s="63" t="n">
        <f aca="false">MAX(O185:U185)</f>
        <v>2</v>
      </c>
      <c r="N185" s="15" t="n">
        <f aca="false">COUNTIF(M185,"&gt;9.9")</f>
        <v>0</v>
      </c>
      <c r="O185" s="2" t="n">
        <v>2</v>
      </c>
      <c r="V185" s="63" t="n">
        <f aca="false">PI()*POWER((O185/200),2)</f>
        <v>0.000314159265358979</v>
      </c>
      <c r="W185" s="63" t="n">
        <f aca="false">PI()*POWER((P185/200),2)</f>
        <v>0</v>
      </c>
      <c r="X185" s="63" t="n">
        <f aca="false">PI()*POWER((Q185/200),2)</f>
        <v>0</v>
      </c>
      <c r="Y185" s="63" t="n">
        <f aca="false">PI()*POWER((R185/200),2)</f>
        <v>0</v>
      </c>
      <c r="Z185" s="63" t="n">
        <f aca="false">PI()*POWER((S185/200),2)</f>
        <v>0</v>
      </c>
      <c r="AA185" s="63" t="n">
        <f aca="false">PI()*POWER((T185/200),2)</f>
        <v>0</v>
      </c>
      <c r="AB185" s="63" t="n">
        <f aca="false">PI()*POWER((U185/200),2)</f>
        <v>0</v>
      </c>
    </row>
    <row r="186" customFormat="false" ht="15" hidden="false" customHeight="false" outlineLevel="0" collapsed="false">
      <c r="A186" s="2" t="s">
        <v>20</v>
      </c>
      <c r="B186" s="2" t="n">
        <v>2</v>
      </c>
      <c r="C186" s="33" t="n">
        <v>46264</v>
      </c>
      <c r="D186" s="2" t="n">
        <v>2</v>
      </c>
      <c r="E186" s="2" t="s">
        <v>26</v>
      </c>
      <c r="F186" s="2" t="s">
        <v>27</v>
      </c>
      <c r="G186" s="2" t="s">
        <v>28</v>
      </c>
      <c r="H186" s="2" t="s">
        <v>95</v>
      </c>
      <c r="I186" s="2" t="s">
        <v>30</v>
      </c>
      <c r="J186" s="2" t="n">
        <v>16</v>
      </c>
      <c r="K186" s="32" t="s">
        <v>144</v>
      </c>
      <c r="L186" s="63" t="n">
        <f aca="false">SUM(V186:AB186)</f>
        <v>0.000314159265358979</v>
      </c>
      <c r="M186" s="63" t="n">
        <f aca="false">MAX(O186:U186)</f>
        <v>2</v>
      </c>
      <c r="N186" s="15" t="n">
        <f aca="false">COUNTIF(M186,"&gt;9.9")</f>
        <v>0</v>
      </c>
      <c r="O186" s="2" t="n">
        <v>2</v>
      </c>
      <c r="V186" s="63" t="n">
        <f aca="false">PI()*POWER((O186/200),2)</f>
        <v>0.000314159265358979</v>
      </c>
      <c r="W186" s="63" t="n">
        <f aca="false">PI()*POWER((P186/200),2)</f>
        <v>0</v>
      </c>
      <c r="X186" s="63" t="n">
        <f aca="false">PI()*POWER((Q186/200),2)</f>
        <v>0</v>
      </c>
      <c r="Y186" s="63" t="n">
        <f aca="false">PI()*POWER((R186/200),2)</f>
        <v>0</v>
      </c>
      <c r="Z186" s="63" t="n">
        <f aca="false">PI()*POWER((S186/200),2)</f>
        <v>0</v>
      </c>
      <c r="AA186" s="63" t="n">
        <f aca="false">PI()*POWER((T186/200),2)</f>
        <v>0</v>
      </c>
      <c r="AB186" s="63" t="n">
        <f aca="false">PI()*POWER((U186/200),2)</f>
        <v>0</v>
      </c>
    </row>
    <row r="187" customFormat="false" ht="15" hidden="false" customHeight="false" outlineLevel="0" collapsed="false">
      <c r="A187" s="2" t="s">
        <v>20</v>
      </c>
      <c r="B187" s="2" t="n">
        <v>2</v>
      </c>
      <c r="C187" s="33" t="n">
        <v>46264</v>
      </c>
      <c r="D187" s="2" t="n">
        <v>2</v>
      </c>
      <c r="E187" s="2" t="s">
        <v>26</v>
      </c>
      <c r="F187" s="2" t="s">
        <v>27</v>
      </c>
      <c r="G187" s="2" t="s">
        <v>28</v>
      </c>
      <c r="H187" s="2" t="s">
        <v>95</v>
      </c>
      <c r="I187" s="2" t="s">
        <v>30</v>
      </c>
      <c r="J187" s="2" t="n">
        <v>20</v>
      </c>
      <c r="K187" s="32" t="s">
        <v>144</v>
      </c>
      <c r="L187" s="63" t="n">
        <f aca="false">SUM(V187:AB187)</f>
        <v>0.000314159265358979</v>
      </c>
      <c r="M187" s="63" t="n">
        <f aca="false">MAX(O187:U187)</f>
        <v>2</v>
      </c>
      <c r="N187" s="15" t="n">
        <f aca="false">COUNTIF(M187,"&gt;9.9")</f>
        <v>0</v>
      </c>
      <c r="O187" s="2" t="n">
        <v>2</v>
      </c>
      <c r="V187" s="63" t="n">
        <f aca="false">PI()*POWER((O187/200),2)</f>
        <v>0.000314159265358979</v>
      </c>
      <c r="W187" s="63" t="n">
        <f aca="false">PI()*POWER((P187/200),2)</f>
        <v>0</v>
      </c>
      <c r="X187" s="63" t="n">
        <f aca="false">PI()*POWER((Q187/200),2)</f>
        <v>0</v>
      </c>
      <c r="Y187" s="63" t="n">
        <f aca="false">PI()*POWER((R187/200),2)</f>
        <v>0</v>
      </c>
      <c r="Z187" s="63" t="n">
        <f aca="false">PI()*POWER((S187/200),2)</f>
        <v>0</v>
      </c>
      <c r="AA187" s="63" t="n">
        <f aca="false">PI()*POWER((T187/200),2)</f>
        <v>0</v>
      </c>
      <c r="AB187" s="63" t="n">
        <f aca="false">PI()*POWER((U187/200),2)</f>
        <v>0</v>
      </c>
    </row>
    <row r="188" customFormat="false" ht="15" hidden="false" customHeight="false" outlineLevel="0" collapsed="false">
      <c r="A188" s="2" t="s">
        <v>20</v>
      </c>
      <c r="B188" s="2" t="n">
        <v>2</v>
      </c>
      <c r="C188" s="33" t="n">
        <v>46264</v>
      </c>
      <c r="D188" s="2" t="n">
        <v>2</v>
      </c>
      <c r="E188" s="2" t="s">
        <v>26</v>
      </c>
      <c r="F188" s="2" t="s">
        <v>27</v>
      </c>
      <c r="G188" s="2" t="s">
        <v>28</v>
      </c>
      <c r="H188" s="2" t="s">
        <v>95</v>
      </c>
      <c r="I188" s="2" t="s">
        <v>30</v>
      </c>
      <c r="J188" s="2" t="n">
        <v>30</v>
      </c>
      <c r="K188" s="32" t="s">
        <v>144</v>
      </c>
      <c r="L188" s="63" t="n">
        <f aca="false">SUM(V188:AB188)</f>
        <v>0.000314159265358979</v>
      </c>
      <c r="M188" s="63" t="n">
        <f aca="false">MAX(O188:U188)</f>
        <v>2</v>
      </c>
      <c r="N188" s="15" t="n">
        <f aca="false">COUNTIF(M188,"&gt;9.9")</f>
        <v>0</v>
      </c>
      <c r="O188" s="2" t="n">
        <v>2</v>
      </c>
      <c r="V188" s="63" t="n">
        <f aca="false">PI()*POWER((O188/200),2)</f>
        <v>0.000314159265358979</v>
      </c>
      <c r="W188" s="63" t="n">
        <f aca="false">PI()*POWER((P188/200),2)</f>
        <v>0</v>
      </c>
      <c r="X188" s="63" t="n">
        <f aca="false">PI()*POWER((Q188/200),2)</f>
        <v>0</v>
      </c>
      <c r="Y188" s="63" t="n">
        <f aca="false">PI()*POWER((R188/200),2)</f>
        <v>0</v>
      </c>
      <c r="Z188" s="63" t="n">
        <f aca="false">PI()*POWER((S188/200),2)</f>
        <v>0</v>
      </c>
      <c r="AA188" s="63" t="n">
        <f aca="false">PI()*POWER((T188/200),2)</f>
        <v>0</v>
      </c>
      <c r="AB188" s="63" t="n">
        <f aca="false">PI()*POWER((U188/200),2)</f>
        <v>0</v>
      </c>
    </row>
    <row r="189" customFormat="false" ht="15" hidden="false" customHeight="false" outlineLevel="0" collapsed="false">
      <c r="A189" s="2" t="s">
        <v>20</v>
      </c>
      <c r="B189" s="2" t="n">
        <v>2</v>
      </c>
      <c r="C189" s="33" t="n">
        <v>46264</v>
      </c>
      <c r="D189" s="2" t="n">
        <v>2</v>
      </c>
      <c r="E189" s="2" t="s">
        <v>26</v>
      </c>
      <c r="F189" s="2" t="s">
        <v>27</v>
      </c>
      <c r="G189" s="2" t="s">
        <v>28</v>
      </c>
      <c r="H189" s="2" t="s">
        <v>95</v>
      </c>
      <c r="I189" s="2" t="s">
        <v>30</v>
      </c>
      <c r="J189" s="2" t="n">
        <v>29</v>
      </c>
      <c r="K189" s="32" t="s">
        <v>144</v>
      </c>
      <c r="L189" s="63" t="n">
        <f aca="false">SUM(V189:AB189)</f>
        <v>0.000380132711084365</v>
      </c>
      <c r="M189" s="63" t="n">
        <f aca="false">MAX(O189:U189)</f>
        <v>2.2</v>
      </c>
      <c r="N189" s="15" t="n">
        <f aca="false">COUNTIF(M189,"&gt;9.9")</f>
        <v>0</v>
      </c>
      <c r="O189" s="2" t="n">
        <v>2.2</v>
      </c>
      <c r="V189" s="63" t="n">
        <f aca="false">PI()*POWER((O189/200),2)</f>
        <v>0.000380132711084365</v>
      </c>
      <c r="W189" s="63" t="n">
        <f aca="false">PI()*POWER((P189/200),2)</f>
        <v>0</v>
      </c>
      <c r="X189" s="63" t="n">
        <f aca="false">PI()*POWER((Q189/200),2)</f>
        <v>0</v>
      </c>
      <c r="Y189" s="63" t="n">
        <f aca="false">PI()*POWER((R189/200),2)</f>
        <v>0</v>
      </c>
      <c r="Z189" s="63" t="n">
        <f aca="false">PI()*POWER((S189/200),2)</f>
        <v>0</v>
      </c>
      <c r="AA189" s="63" t="n">
        <f aca="false">PI()*POWER((T189/200),2)</f>
        <v>0</v>
      </c>
      <c r="AB189" s="63" t="n">
        <f aca="false">PI()*POWER((U189/200),2)</f>
        <v>0</v>
      </c>
    </row>
    <row r="190" customFormat="false" ht="15" hidden="false" customHeight="false" outlineLevel="0" collapsed="false">
      <c r="A190" s="2" t="s">
        <v>20</v>
      </c>
      <c r="B190" s="2" t="n">
        <v>2</v>
      </c>
      <c r="C190" s="33" t="n">
        <v>46264</v>
      </c>
      <c r="D190" s="2" t="n">
        <v>2</v>
      </c>
      <c r="E190" s="2" t="s">
        <v>26</v>
      </c>
      <c r="F190" s="2" t="s">
        <v>27</v>
      </c>
      <c r="G190" s="2" t="s">
        <v>28</v>
      </c>
      <c r="H190" s="2" t="s">
        <v>95</v>
      </c>
      <c r="I190" s="2" t="s">
        <v>30</v>
      </c>
      <c r="J190" s="2" t="n">
        <v>21</v>
      </c>
      <c r="K190" s="32" t="s">
        <v>144</v>
      </c>
      <c r="L190" s="63" t="n">
        <f aca="false">SUM(V190:AB190)</f>
        <v>0.000490873852123405</v>
      </c>
      <c r="M190" s="63" t="n">
        <f aca="false">MAX(O190:U190)</f>
        <v>2.5</v>
      </c>
      <c r="N190" s="15" t="n">
        <f aca="false">COUNTIF(M190,"&gt;9.9")</f>
        <v>0</v>
      </c>
      <c r="O190" s="2" t="n">
        <v>2.5</v>
      </c>
      <c r="V190" s="63" t="n">
        <f aca="false">PI()*POWER((O190/200),2)</f>
        <v>0.000490873852123405</v>
      </c>
      <c r="W190" s="63" t="n">
        <f aca="false">PI()*POWER((P190/200),2)</f>
        <v>0</v>
      </c>
      <c r="X190" s="63" t="n">
        <f aca="false">PI()*POWER((Q190/200),2)</f>
        <v>0</v>
      </c>
      <c r="Y190" s="63" t="n">
        <f aca="false">PI()*POWER((R190/200),2)</f>
        <v>0</v>
      </c>
      <c r="Z190" s="63" t="n">
        <f aca="false">PI()*POWER((S190/200),2)</f>
        <v>0</v>
      </c>
      <c r="AA190" s="63" t="n">
        <f aca="false">PI()*POWER((T190/200),2)</f>
        <v>0</v>
      </c>
      <c r="AB190" s="63" t="n">
        <f aca="false">PI()*POWER((U190/200),2)</f>
        <v>0</v>
      </c>
    </row>
    <row r="191" customFormat="false" ht="15" hidden="false" customHeight="false" outlineLevel="0" collapsed="false">
      <c r="A191" s="2" t="s">
        <v>20</v>
      </c>
      <c r="B191" s="2" t="n">
        <v>2</v>
      </c>
      <c r="C191" s="33" t="n">
        <v>46264</v>
      </c>
      <c r="D191" s="2" t="n">
        <v>2</v>
      </c>
      <c r="E191" s="2" t="s">
        <v>26</v>
      </c>
      <c r="F191" s="2" t="s">
        <v>27</v>
      </c>
      <c r="G191" s="2" t="s">
        <v>28</v>
      </c>
      <c r="H191" s="2" t="s">
        <v>95</v>
      </c>
      <c r="I191" s="2" t="s">
        <v>30</v>
      </c>
      <c r="J191" s="2" t="n">
        <v>51</v>
      </c>
      <c r="K191" s="32" t="s">
        <v>144</v>
      </c>
      <c r="L191" s="63" t="n">
        <f aca="false">SUM(V191:AB191)</f>
        <v>0.00102101761241668</v>
      </c>
      <c r="M191" s="63" t="n">
        <f aca="false">MAX(O191:U191)</f>
        <v>3</v>
      </c>
      <c r="N191" s="15" t="n">
        <f aca="false">COUNTIF(M191,"&gt;9.9")</f>
        <v>0</v>
      </c>
      <c r="O191" s="2" t="n">
        <v>3</v>
      </c>
      <c r="P191" s="2" t="n">
        <v>2</v>
      </c>
      <c r="V191" s="63" t="n">
        <f aca="false">PI()*POWER((O191/200),2)</f>
        <v>0.000706858347057703</v>
      </c>
      <c r="W191" s="63" t="n">
        <f aca="false">PI()*POWER((P191/200),2)</f>
        <v>0.000314159265358979</v>
      </c>
      <c r="X191" s="63" t="n">
        <f aca="false">PI()*POWER((Q191/200),2)</f>
        <v>0</v>
      </c>
      <c r="Y191" s="63" t="n">
        <f aca="false">PI()*POWER((R191/200),2)</f>
        <v>0</v>
      </c>
      <c r="Z191" s="63" t="n">
        <f aca="false">PI()*POWER((S191/200),2)</f>
        <v>0</v>
      </c>
      <c r="AA191" s="63" t="n">
        <f aca="false">PI()*POWER((T191/200),2)</f>
        <v>0</v>
      </c>
      <c r="AB191" s="63" t="n">
        <f aca="false">PI()*POWER((U191/200),2)</f>
        <v>0</v>
      </c>
    </row>
    <row r="192" customFormat="false" ht="15" hidden="false" customHeight="false" outlineLevel="0" collapsed="false">
      <c r="A192" s="2" t="s">
        <v>20</v>
      </c>
      <c r="B192" s="2" t="n">
        <v>2</v>
      </c>
      <c r="C192" s="33" t="n">
        <v>46264</v>
      </c>
      <c r="D192" s="2" t="n">
        <v>2</v>
      </c>
      <c r="E192" s="2" t="s">
        <v>26</v>
      </c>
      <c r="F192" s="2" t="s">
        <v>27</v>
      </c>
      <c r="G192" s="2" t="s">
        <v>28</v>
      </c>
      <c r="H192" s="2" t="s">
        <v>95</v>
      </c>
      <c r="I192" s="2" t="s">
        <v>30</v>
      </c>
      <c r="J192" s="2" t="n">
        <v>3</v>
      </c>
      <c r="K192" s="32" t="s">
        <v>144</v>
      </c>
      <c r="L192" s="63" t="n">
        <f aca="false">SUM(V192:AB192)</f>
        <v>0.00198313036257856</v>
      </c>
      <c r="M192" s="63" t="n">
        <f aca="false">MAX(O192:U192)</f>
        <v>3.5</v>
      </c>
      <c r="N192" s="15" t="n">
        <f aca="false">COUNTIF(M192,"&gt;9.9")</f>
        <v>0</v>
      </c>
      <c r="O192" s="2" t="n">
        <v>3</v>
      </c>
      <c r="P192" s="2" t="n">
        <v>2</v>
      </c>
      <c r="Q192" s="2" t="n">
        <v>3.5</v>
      </c>
      <c r="V192" s="63" t="n">
        <f aca="false">PI()*POWER((O192/200),2)</f>
        <v>0.000706858347057703</v>
      </c>
      <c r="W192" s="63" t="n">
        <f aca="false">PI()*POWER((P192/200),2)</f>
        <v>0.000314159265358979</v>
      </c>
      <c r="X192" s="63" t="n">
        <f aca="false">PI()*POWER((Q192/200),2)</f>
        <v>0.000962112750161874</v>
      </c>
      <c r="Y192" s="63" t="n">
        <f aca="false">PI()*POWER((R192/200),2)</f>
        <v>0</v>
      </c>
      <c r="Z192" s="63" t="n">
        <f aca="false">PI()*POWER((S192/200),2)</f>
        <v>0</v>
      </c>
      <c r="AA192" s="63" t="n">
        <f aca="false">PI()*POWER((T192/200),2)</f>
        <v>0</v>
      </c>
      <c r="AB192" s="63" t="n">
        <f aca="false">PI()*POWER((U192/200),2)</f>
        <v>0</v>
      </c>
    </row>
    <row r="193" customFormat="false" ht="15" hidden="false" customHeight="false" outlineLevel="0" collapsed="false">
      <c r="A193" s="2" t="s">
        <v>20</v>
      </c>
      <c r="B193" s="2" t="n">
        <v>2</v>
      </c>
      <c r="C193" s="33" t="n">
        <v>46264</v>
      </c>
      <c r="D193" s="2" t="n">
        <v>2</v>
      </c>
      <c r="E193" s="2" t="s">
        <v>26</v>
      </c>
      <c r="F193" s="2" t="s">
        <v>27</v>
      </c>
      <c r="G193" s="2" t="s">
        <v>28</v>
      </c>
      <c r="H193" s="2" t="s">
        <v>95</v>
      </c>
      <c r="I193" s="2" t="s">
        <v>30</v>
      </c>
      <c r="J193" s="2" t="n">
        <v>15</v>
      </c>
      <c r="K193" s="32" t="s">
        <v>144</v>
      </c>
      <c r="L193" s="63" t="n">
        <f aca="false">SUM(V193:AB193)</f>
        <v>0.000962112750161874</v>
      </c>
      <c r="M193" s="63" t="n">
        <f aca="false">MAX(O193:U193)</f>
        <v>3.5</v>
      </c>
      <c r="N193" s="15" t="n">
        <f aca="false">COUNTIF(M193,"&gt;9.9")</f>
        <v>0</v>
      </c>
      <c r="O193" s="2" t="n">
        <v>3.5</v>
      </c>
      <c r="V193" s="63" t="n">
        <f aca="false">PI()*POWER((O193/200),2)</f>
        <v>0.000962112750161874</v>
      </c>
      <c r="W193" s="63" t="n">
        <f aca="false">PI()*POWER((P193/200),2)</f>
        <v>0</v>
      </c>
      <c r="X193" s="63" t="n">
        <f aca="false">PI()*POWER((Q193/200),2)</f>
        <v>0</v>
      </c>
      <c r="Y193" s="63" t="n">
        <f aca="false">PI()*POWER((R193/200),2)</f>
        <v>0</v>
      </c>
      <c r="Z193" s="63" t="n">
        <f aca="false">PI()*POWER((S193/200),2)</f>
        <v>0</v>
      </c>
      <c r="AA193" s="63" t="n">
        <f aca="false">PI()*POWER((T193/200),2)</f>
        <v>0</v>
      </c>
      <c r="AB193" s="63" t="n">
        <f aca="false">PI()*POWER((U193/200),2)</f>
        <v>0</v>
      </c>
    </row>
    <row r="194" customFormat="false" ht="15" hidden="false" customHeight="false" outlineLevel="0" collapsed="false">
      <c r="A194" s="2" t="s">
        <v>20</v>
      </c>
      <c r="B194" s="2" t="n">
        <v>2</v>
      </c>
      <c r="C194" s="33" t="n">
        <v>46264</v>
      </c>
      <c r="D194" s="2" t="n">
        <v>2</v>
      </c>
      <c r="E194" s="2" t="s">
        <v>26</v>
      </c>
      <c r="F194" s="2" t="s">
        <v>27</v>
      </c>
      <c r="G194" s="2" t="s">
        <v>28</v>
      </c>
      <c r="H194" s="2" t="s">
        <v>95</v>
      </c>
      <c r="I194" s="2" t="s">
        <v>30</v>
      </c>
      <c r="J194" s="2" t="n">
        <v>17</v>
      </c>
      <c r="K194" s="32" t="s">
        <v>144</v>
      </c>
      <c r="L194" s="63" t="n">
        <f aca="false">SUM(V194:AB194)</f>
        <v>0.000962112750161874</v>
      </c>
      <c r="M194" s="63" t="n">
        <f aca="false">MAX(O194:U194)</f>
        <v>3.5</v>
      </c>
      <c r="N194" s="15" t="n">
        <f aca="false">COUNTIF(M194,"&gt;9.9")</f>
        <v>0</v>
      </c>
      <c r="O194" s="2" t="n">
        <v>3.5</v>
      </c>
      <c r="V194" s="63" t="n">
        <f aca="false">PI()*POWER((O194/200),2)</f>
        <v>0.000962112750161874</v>
      </c>
      <c r="W194" s="63" t="n">
        <f aca="false">PI()*POWER((P194/200),2)</f>
        <v>0</v>
      </c>
      <c r="X194" s="63" t="n">
        <f aca="false">PI()*POWER((Q194/200),2)</f>
        <v>0</v>
      </c>
      <c r="Y194" s="63" t="n">
        <f aca="false">PI()*POWER((R194/200),2)</f>
        <v>0</v>
      </c>
      <c r="Z194" s="63" t="n">
        <f aca="false">PI()*POWER((S194/200),2)</f>
        <v>0</v>
      </c>
      <c r="AA194" s="63" t="n">
        <f aca="false">PI()*POWER((T194/200),2)</f>
        <v>0</v>
      </c>
      <c r="AB194" s="63" t="n">
        <f aca="false">PI()*POWER((U194/200),2)</f>
        <v>0</v>
      </c>
    </row>
    <row r="195" customFormat="false" ht="15" hidden="false" customHeight="false" outlineLevel="0" collapsed="false">
      <c r="A195" s="2" t="s">
        <v>20</v>
      </c>
      <c r="B195" s="2" t="n">
        <v>2</v>
      </c>
      <c r="C195" s="33" t="n">
        <v>46264</v>
      </c>
      <c r="D195" s="2" t="n">
        <v>2</v>
      </c>
      <c r="E195" s="2" t="s">
        <v>26</v>
      </c>
      <c r="F195" s="2" t="s">
        <v>27</v>
      </c>
      <c r="G195" s="2" t="s">
        <v>28</v>
      </c>
      <c r="H195" s="2" t="s">
        <v>95</v>
      </c>
      <c r="I195" s="2" t="s">
        <v>30</v>
      </c>
      <c r="J195" s="2" t="n">
        <v>38</v>
      </c>
      <c r="K195" s="32" t="s">
        <v>144</v>
      </c>
      <c r="L195" s="63" t="n">
        <f aca="false">SUM(V195:AB195)</f>
        <v>0.000962112750161874</v>
      </c>
      <c r="M195" s="63" t="n">
        <f aca="false">MAX(O195:U195)</f>
        <v>3.5</v>
      </c>
      <c r="N195" s="15" t="n">
        <f aca="false">COUNTIF(M195,"&gt;9.9")</f>
        <v>0</v>
      </c>
      <c r="O195" s="2" t="n">
        <v>3.5</v>
      </c>
      <c r="V195" s="63" t="n">
        <f aca="false">PI()*POWER((O195/200),2)</f>
        <v>0.000962112750161874</v>
      </c>
      <c r="W195" s="63" t="n">
        <f aca="false">PI()*POWER((P195/200),2)</f>
        <v>0</v>
      </c>
      <c r="X195" s="63" t="n">
        <f aca="false">PI()*POWER((Q195/200),2)</f>
        <v>0</v>
      </c>
      <c r="Y195" s="63" t="n">
        <f aca="false">PI()*POWER((R195/200),2)</f>
        <v>0</v>
      </c>
      <c r="Z195" s="63" t="n">
        <f aca="false">PI()*POWER((S195/200),2)</f>
        <v>0</v>
      </c>
      <c r="AA195" s="63" t="n">
        <f aca="false">PI()*POWER((T195/200),2)</f>
        <v>0</v>
      </c>
      <c r="AB195" s="63" t="n">
        <f aca="false">PI()*POWER((U195/200),2)</f>
        <v>0</v>
      </c>
    </row>
    <row r="196" customFormat="false" ht="15" hidden="false" customHeight="false" outlineLevel="0" collapsed="false">
      <c r="A196" s="2" t="s">
        <v>20</v>
      </c>
      <c r="B196" s="2" t="n">
        <v>2</v>
      </c>
      <c r="C196" s="33" t="n">
        <v>46264</v>
      </c>
      <c r="D196" s="2" t="n">
        <v>2</v>
      </c>
      <c r="E196" s="2" t="s">
        <v>26</v>
      </c>
      <c r="F196" s="2" t="s">
        <v>27</v>
      </c>
      <c r="G196" s="2" t="s">
        <v>28</v>
      </c>
      <c r="H196" s="2" t="s">
        <v>95</v>
      </c>
      <c r="I196" s="2" t="s">
        <v>30</v>
      </c>
      <c r="J196" s="2" t="n">
        <v>36</v>
      </c>
      <c r="K196" s="32" t="s">
        <v>144</v>
      </c>
      <c r="L196" s="63" t="n">
        <f aca="false">SUM(V196:AB196)</f>
        <v>0.00132025431267111</v>
      </c>
      <c r="M196" s="63" t="n">
        <f aca="false">MAX(O196:U196)</f>
        <v>4.1</v>
      </c>
      <c r="N196" s="15" t="n">
        <f aca="false">COUNTIF(M196,"&gt;9.9")</f>
        <v>0</v>
      </c>
      <c r="O196" s="2" t="n">
        <v>4.1</v>
      </c>
      <c r="V196" s="63" t="n">
        <f aca="false">PI()*POWER((O196/200),2)</f>
        <v>0.00132025431267111</v>
      </c>
      <c r="W196" s="63" t="n">
        <f aca="false">PI()*POWER((P196/200),2)</f>
        <v>0</v>
      </c>
      <c r="X196" s="63" t="n">
        <f aca="false">PI()*POWER((Q196/200),2)</f>
        <v>0</v>
      </c>
      <c r="Y196" s="63" t="n">
        <f aca="false">PI()*POWER((R196/200),2)</f>
        <v>0</v>
      </c>
      <c r="Z196" s="63" t="n">
        <f aca="false">PI()*POWER((S196/200),2)</f>
        <v>0</v>
      </c>
      <c r="AA196" s="63" t="n">
        <f aca="false">PI()*POWER((T196/200),2)</f>
        <v>0</v>
      </c>
      <c r="AB196" s="63" t="n">
        <f aca="false">PI()*POWER((U196/200),2)</f>
        <v>0</v>
      </c>
    </row>
    <row r="197" customFormat="false" ht="15" hidden="false" customHeight="false" outlineLevel="0" collapsed="false">
      <c r="A197" s="2" t="s">
        <v>20</v>
      </c>
      <c r="B197" s="2" t="n">
        <v>2</v>
      </c>
      <c r="C197" s="33" t="n">
        <v>46264</v>
      </c>
      <c r="D197" s="2" t="n">
        <v>2</v>
      </c>
      <c r="E197" s="2" t="s">
        <v>26</v>
      </c>
      <c r="F197" s="2" t="s">
        <v>27</v>
      </c>
      <c r="G197" s="2" t="s">
        <v>28</v>
      </c>
      <c r="H197" s="2" t="s">
        <v>95</v>
      </c>
      <c r="I197" s="2" t="s">
        <v>30</v>
      </c>
      <c r="J197" s="2" t="n">
        <v>2</v>
      </c>
      <c r="K197" s="32" t="s">
        <v>144</v>
      </c>
      <c r="L197" s="63" t="n">
        <f aca="false">SUM(V197:AB197)</f>
        <v>0.00159043128087983</v>
      </c>
      <c r="M197" s="63" t="n">
        <f aca="false">MAX(O197:U197)</f>
        <v>4.5</v>
      </c>
      <c r="N197" s="15" t="n">
        <f aca="false">COUNTIF(M197,"&gt;9.9")</f>
        <v>0</v>
      </c>
      <c r="O197" s="2" t="n">
        <v>4.5</v>
      </c>
      <c r="V197" s="63" t="n">
        <f aca="false">PI()*POWER((O197/200),2)</f>
        <v>0.00159043128087983</v>
      </c>
      <c r="W197" s="63" t="n">
        <f aca="false">PI()*POWER((P197/200),2)</f>
        <v>0</v>
      </c>
      <c r="X197" s="63" t="n">
        <f aca="false">PI()*POWER((Q197/200),2)</f>
        <v>0</v>
      </c>
      <c r="Y197" s="63" t="n">
        <f aca="false">PI()*POWER((R197/200),2)</f>
        <v>0</v>
      </c>
      <c r="Z197" s="63" t="n">
        <f aca="false">PI()*POWER((S197/200),2)</f>
        <v>0</v>
      </c>
      <c r="AA197" s="63" t="n">
        <f aca="false">PI()*POWER((T197/200),2)</f>
        <v>0</v>
      </c>
      <c r="AB197" s="63" t="n">
        <f aca="false">PI()*POWER((U197/200),2)</f>
        <v>0</v>
      </c>
    </row>
    <row r="198" customFormat="false" ht="15" hidden="false" customHeight="false" outlineLevel="0" collapsed="false">
      <c r="A198" s="2" t="s">
        <v>20</v>
      </c>
      <c r="B198" s="2" t="n">
        <v>2</v>
      </c>
      <c r="C198" s="33" t="n">
        <v>46264</v>
      </c>
      <c r="D198" s="2" t="n">
        <v>2</v>
      </c>
      <c r="E198" s="2" t="s">
        <v>26</v>
      </c>
      <c r="F198" s="2" t="s">
        <v>27</v>
      </c>
      <c r="G198" s="2" t="s">
        <v>28</v>
      </c>
      <c r="H198" s="2" t="s">
        <v>95</v>
      </c>
      <c r="I198" s="2" t="s">
        <v>30</v>
      </c>
      <c r="J198" s="2" t="n">
        <v>50</v>
      </c>
      <c r="K198" s="32" t="s">
        <v>144</v>
      </c>
      <c r="L198" s="63" t="n">
        <f aca="false">SUM(V198:AB198)</f>
        <v>0.00159043128087983</v>
      </c>
      <c r="M198" s="63" t="n">
        <f aca="false">MAX(O198:U198)</f>
        <v>4.5</v>
      </c>
      <c r="N198" s="15" t="n">
        <f aca="false">COUNTIF(M198,"&gt;9.9")</f>
        <v>0</v>
      </c>
      <c r="O198" s="2" t="n">
        <v>4.5</v>
      </c>
      <c r="V198" s="63" t="n">
        <f aca="false">PI()*POWER((O198/200),2)</f>
        <v>0.00159043128087983</v>
      </c>
      <c r="W198" s="63" t="n">
        <f aca="false">PI()*POWER((P198/200),2)</f>
        <v>0</v>
      </c>
      <c r="X198" s="63" t="n">
        <f aca="false">PI()*POWER((Q198/200),2)</f>
        <v>0</v>
      </c>
      <c r="Y198" s="63" t="n">
        <f aca="false">PI()*POWER((R198/200),2)</f>
        <v>0</v>
      </c>
      <c r="Z198" s="63" t="n">
        <f aca="false">PI()*POWER((S198/200),2)</f>
        <v>0</v>
      </c>
      <c r="AA198" s="63" t="n">
        <f aca="false">PI()*POWER((T198/200),2)</f>
        <v>0</v>
      </c>
      <c r="AB198" s="63" t="n">
        <f aca="false">PI()*POWER((U198/200),2)</f>
        <v>0</v>
      </c>
    </row>
    <row r="199" customFormat="false" ht="15" hidden="false" customHeight="false" outlineLevel="0" collapsed="false">
      <c r="A199" s="2" t="s">
        <v>20</v>
      </c>
      <c r="B199" s="2" t="n">
        <v>2</v>
      </c>
      <c r="C199" s="33" t="n">
        <v>46264</v>
      </c>
      <c r="D199" s="2" t="n">
        <v>2</v>
      </c>
      <c r="E199" s="2" t="s">
        <v>26</v>
      </c>
      <c r="F199" s="2" t="s">
        <v>27</v>
      </c>
      <c r="G199" s="2" t="s">
        <v>28</v>
      </c>
      <c r="H199" s="2" t="s">
        <v>95</v>
      </c>
      <c r="I199" s="2" t="s">
        <v>30</v>
      </c>
      <c r="J199" s="2" t="n">
        <v>18</v>
      </c>
      <c r="K199" s="32" t="s">
        <v>144</v>
      </c>
      <c r="L199" s="63" t="n">
        <f aca="false">SUM(V199:AB199)</f>
        <v>0.00188574099031727</v>
      </c>
      <c r="M199" s="63" t="n">
        <f aca="false">MAX(O199:U199)</f>
        <v>4.9</v>
      </c>
      <c r="N199" s="15" t="n">
        <f aca="false">COUNTIF(M199,"&gt;9.9")</f>
        <v>0</v>
      </c>
      <c r="O199" s="2" t="n">
        <v>4.9</v>
      </c>
      <c r="V199" s="63" t="n">
        <f aca="false">PI()*POWER((O199/200),2)</f>
        <v>0.00188574099031727</v>
      </c>
      <c r="W199" s="63" t="n">
        <f aca="false">PI()*POWER((P199/200),2)</f>
        <v>0</v>
      </c>
      <c r="X199" s="63" t="n">
        <f aca="false">PI()*POWER((Q199/200),2)</f>
        <v>0</v>
      </c>
      <c r="Y199" s="63" t="n">
        <f aca="false">PI()*POWER((R199/200),2)</f>
        <v>0</v>
      </c>
      <c r="Z199" s="63" t="n">
        <f aca="false">PI()*POWER((S199/200),2)</f>
        <v>0</v>
      </c>
      <c r="AA199" s="63" t="n">
        <f aca="false">PI()*POWER((T199/200),2)</f>
        <v>0</v>
      </c>
      <c r="AB199" s="63" t="n">
        <f aca="false">PI()*POWER((U199/200),2)</f>
        <v>0</v>
      </c>
    </row>
    <row r="200" customFormat="false" ht="15" hidden="false" customHeight="false" outlineLevel="0" collapsed="false">
      <c r="A200" s="2" t="s">
        <v>20</v>
      </c>
      <c r="B200" s="2" t="n">
        <v>2</v>
      </c>
      <c r="C200" s="33" t="n">
        <v>46264</v>
      </c>
      <c r="D200" s="2" t="n">
        <v>2</v>
      </c>
      <c r="E200" s="2" t="s">
        <v>26</v>
      </c>
      <c r="F200" s="2" t="s">
        <v>27</v>
      </c>
      <c r="G200" s="2" t="s">
        <v>28</v>
      </c>
      <c r="H200" s="2" t="s">
        <v>95</v>
      </c>
      <c r="I200" s="2" t="s">
        <v>30</v>
      </c>
      <c r="J200" s="2" t="n">
        <v>43</v>
      </c>
      <c r="K200" s="32" t="s">
        <v>144</v>
      </c>
      <c r="L200" s="63" t="n">
        <f aca="false">SUM(V200:AB200)</f>
        <v>0.00188574099031727</v>
      </c>
      <c r="M200" s="63" t="n">
        <f aca="false">MAX(O200:U200)</f>
        <v>4.9</v>
      </c>
      <c r="N200" s="15" t="n">
        <f aca="false">COUNTIF(M200,"&gt;9.9")</f>
        <v>0</v>
      </c>
      <c r="O200" s="2" t="n">
        <v>4.9</v>
      </c>
      <c r="V200" s="63" t="n">
        <f aca="false">PI()*POWER((O200/200),2)</f>
        <v>0.00188574099031727</v>
      </c>
      <c r="W200" s="63" t="n">
        <f aca="false">PI()*POWER((P200/200),2)</f>
        <v>0</v>
      </c>
      <c r="X200" s="63" t="n">
        <f aca="false">PI()*POWER((Q200/200),2)</f>
        <v>0</v>
      </c>
      <c r="Y200" s="63" t="n">
        <f aca="false">PI()*POWER((R200/200),2)</f>
        <v>0</v>
      </c>
      <c r="Z200" s="63" t="n">
        <f aca="false">PI()*POWER((S200/200),2)</f>
        <v>0</v>
      </c>
      <c r="AA200" s="63" t="n">
        <f aca="false">PI()*POWER((T200/200),2)</f>
        <v>0</v>
      </c>
      <c r="AB200" s="63" t="n">
        <f aca="false">PI()*POWER((U200/200),2)</f>
        <v>0</v>
      </c>
    </row>
    <row r="201" customFormat="false" ht="15" hidden="false" customHeight="false" outlineLevel="0" collapsed="false">
      <c r="A201" s="2" t="s">
        <v>20</v>
      </c>
      <c r="B201" s="2" t="n">
        <v>2</v>
      </c>
      <c r="C201" s="33" t="n">
        <v>46264</v>
      </c>
      <c r="D201" s="2" t="n">
        <v>2</v>
      </c>
      <c r="E201" s="2" t="s">
        <v>26</v>
      </c>
      <c r="F201" s="2" t="s">
        <v>27</v>
      </c>
      <c r="G201" s="2" t="s">
        <v>28</v>
      </c>
      <c r="H201" s="2" t="s">
        <v>95</v>
      </c>
      <c r="I201" s="2" t="s">
        <v>30</v>
      </c>
      <c r="J201" s="2" t="n">
        <v>37</v>
      </c>
      <c r="K201" s="32" t="s">
        <v>144</v>
      </c>
      <c r="L201" s="63" t="n">
        <f aca="false">SUM(V201:AB201)</f>
        <v>0.00196349540849362</v>
      </c>
      <c r="M201" s="63" t="n">
        <f aca="false">MAX(O201:U201)</f>
        <v>5</v>
      </c>
      <c r="N201" s="15" t="n">
        <f aca="false">COUNTIF(M201,"&gt;9.9")</f>
        <v>0</v>
      </c>
      <c r="O201" s="2" t="n">
        <v>5</v>
      </c>
      <c r="V201" s="63" t="n">
        <f aca="false">PI()*POWER((O201/200),2)</f>
        <v>0.00196349540849362</v>
      </c>
      <c r="W201" s="63" t="n">
        <f aca="false">PI()*POWER((P201/200),2)</f>
        <v>0</v>
      </c>
      <c r="X201" s="63" t="n">
        <f aca="false">PI()*POWER((Q201/200),2)</f>
        <v>0</v>
      </c>
      <c r="Y201" s="63" t="n">
        <f aca="false">PI()*POWER((R201/200),2)</f>
        <v>0</v>
      </c>
      <c r="Z201" s="63" t="n">
        <f aca="false">PI()*POWER((S201/200),2)</f>
        <v>0</v>
      </c>
      <c r="AA201" s="63" t="n">
        <f aca="false">PI()*POWER((T201/200),2)</f>
        <v>0</v>
      </c>
      <c r="AB201" s="63" t="n">
        <f aca="false">PI()*POWER((U201/200),2)</f>
        <v>0</v>
      </c>
    </row>
    <row r="202" customFormat="false" ht="15" hidden="false" customHeight="false" outlineLevel="0" collapsed="false">
      <c r="A202" s="2" t="s">
        <v>20</v>
      </c>
      <c r="B202" s="2" t="n">
        <v>2</v>
      </c>
      <c r="C202" s="33" t="n">
        <v>46264</v>
      </c>
      <c r="D202" s="2" t="n">
        <v>2</v>
      </c>
      <c r="E202" s="2" t="s">
        <v>26</v>
      </c>
      <c r="F202" s="2" t="s">
        <v>27</v>
      </c>
      <c r="G202" s="2" t="s">
        <v>28</v>
      </c>
      <c r="H202" s="2" t="s">
        <v>95</v>
      </c>
      <c r="I202" s="2" t="s">
        <v>30</v>
      </c>
      <c r="J202" s="2" t="n">
        <v>44</v>
      </c>
      <c r="K202" s="32" t="s">
        <v>144</v>
      </c>
      <c r="L202" s="63" t="n">
        <f aca="false">SUM(V202:AB202)</f>
        <v>0.00237582944427728</v>
      </c>
      <c r="M202" s="63" t="n">
        <f aca="false">MAX(O202:U202)</f>
        <v>5.5</v>
      </c>
      <c r="N202" s="15" t="n">
        <f aca="false">COUNTIF(M202,"&gt;9.9")</f>
        <v>0</v>
      </c>
      <c r="O202" s="2" t="n">
        <v>5.5</v>
      </c>
      <c r="V202" s="63" t="n">
        <f aca="false">PI()*POWER((O202/200),2)</f>
        <v>0.00237582944427728</v>
      </c>
      <c r="W202" s="63" t="n">
        <f aca="false">PI()*POWER((P202/200),2)</f>
        <v>0</v>
      </c>
      <c r="X202" s="63" t="n">
        <f aca="false">PI()*POWER((Q202/200),2)</f>
        <v>0</v>
      </c>
      <c r="Y202" s="63" t="n">
        <f aca="false">PI()*POWER((R202/200),2)</f>
        <v>0</v>
      </c>
      <c r="Z202" s="63" t="n">
        <f aca="false">PI()*POWER((S202/200),2)</f>
        <v>0</v>
      </c>
      <c r="AA202" s="63" t="n">
        <f aca="false">PI()*POWER((T202/200),2)</f>
        <v>0</v>
      </c>
      <c r="AB202" s="63" t="n">
        <f aca="false">PI()*POWER((U202/200),2)</f>
        <v>0</v>
      </c>
    </row>
    <row r="203" customFormat="false" ht="15" hidden="false" customHeight="false" outlineLevel="0" collapsed="false">
      <c r="A203" s="2" t="s">
        <v>20</v>
      </c>
      <c r="B203" s="2" t="n">
        <v>2</v>
      </c>
      <c r="C203" s="64" t="n">
        <v>46264</v>
      </c>
      <c r="D203" s="2" t="n">
        <v>3</v>
      </c>
      <c r="E203" s="2" t="s">
        <v>31</v>
      </c>
      <c r="F203" s="2" t="s">
        <v>34</v>
      </c>
      <c r="G203" s="2" t="s">
        <v>32</v>
      </c>
      <c r="H203" s="2" t="s">
        <v>140</v>
      </c>
      <c r="I203" s="2" t="s">
        <v>25</v>
      </c>
      <c r="J203" s="2" t="n">
        <v>42</v>
      </c>
      <c r="K203" s="32" t="s">
        <v>102</v>
      </c>
      <c r="L203" s="15" t="n">
        <f aca="false">SUM(V203:AB203)</f>
        <v>0.00204282062299676</v>
      </c>
      <c r="M203" s="63" t="n">
        <f aca="false">MAX(O203:U203)</f>
        <v>5.1</v>
      </c>
      <c r="N203" s="15" t="n">
        <f aca="false">COUNTIF(M203,"&gt;9.9")</f>
        <v>0</v>
      </c>
      <c r="O203" s="2" t="n">
        <v>5.1</v>
      </c>
      <c r="V203" s="15" t="n">
        <f aca="false">PI()*POWER((O203/200),2)</f>
        <v>0.00204282062299676</v>
      </c>
      <c r="W203" s="15" t="n">
        <f aca="false">PI()*POWER((P203/200),2)</f>
        <v>0</v>
      </c>
      <c r="X203" s="15" t="n">
        <f aca="false">PI()*POWER((Q203/200),2)</f>
        <v>0</v>
      </c>
      <c r="Y203" s="15" t="n">
        <f aca="false">PI()*POWER((R203/200),2)</f>
        <v>0</v>
      </c>
      <c r="Z203" s="15" t="n">
        <f aca="false">PI()*POWER((S203/200),2)</f>
        <v>0</v>
      </c>
      <c r="AA203" s="15" t="n">
        <f aca="false">PI()*POWER((T203/200),2)</f>
        <v>0</v>
      </c>
      <c r="AB203" s="15" t="n">
        <f aca="false">PI()*POWER((U203/200),2)</f>
        <v>0</v>
      </c>
    </row>
    <row r="204" customFormat="false" ht="15" hidden="false" customHeight="false" outlineLevel="0" collapsed="false">
      <c r="A204" s="2" t="s">
        <v>20</v>
      </c>
      <c r="B204" s="2" t="n">
        <v>2</v>
      </c>
      <c r="C204" s="64" t="n">
        <v>46264</v>
      </c>
      <c r="D204" s="2" t="n">
        <v>3</v>
      </c>
      <c r="E204" s="2" t="s">
        <v>31</v>
      </c>
      <c r="F204" s="2" t="s">
        <v>34</v>
      </c>
      <c r="G204" s="2" t="s">
        <v>32</v>
      </c>
      <c r="H204" s="2" t="s">
        <v>140</v>
      </c>
      <c r="I204" s="2" t="s">
        <v>25</v>
      </c>
      <c r="J204" s="2" t="n">
        <v>39</v>
      </c>
      <c r="K204" s="32" t="s">
        <v>103</v>
      </c>
      <c r="L204" s="15" t="n">
        <f aca="false">SUM(V204:AB204)</f>
        <v>0.000113097335529233</v>
      </c>
      <c r="M204" s="63" t="n">
        <f aca="false">MAX(O204:U204)</f>
        <v>1.2</v>
      </c>
      <c r="N204" s="15" t="n">
        <f aca="false">COUNTIF(M204,"&gt;9.9")</f>
        <v>0</v>
      </c>
      <c r="O204" s="2" t="n">
        <v>1.2</v>
      </c>
      <c r="V204" s="15" t="n">
        <f aca="false">PI()*POWER((O204/200),2)</f>
        <v>0.000113097335529233</v>
      </c>
      <c r="W204" s="15" t="n">
        <f aca="false">PI()*POWER((P204/200),2)</f>
        <v>0</v>
      </c>
      <c r="X204" s="15" t="n">
        <f aca="false">PI()*POWER((Q204/200),2)</f>
        <v>0</v>
      </c>
      <c r="Y204" s="15" t="n">
        <f aca="false">PI()*POWER((R204/200),2)</f>
        <v>0</v>
      </c>
      <c r="Z204" s="15" t="n">
        <f aca="false">PI()*POWER((S204/200),2)</f>
        <v>0</v>
      </c>
      <c r="AA204" s="15" t="n">
        <f aca="false">PI()*POWER((T204/200),2)</f>
        <v>0</v>
      </c>
      <c r="AB204" s="15" t="n">
        <f aca="false">PI()*POWER((U204/200),2)</f>
        <v>0</v>
      </c>
    </row>
    <row r="205" customFormat="false" ht="15" hidden="false" customHeight="false" outlineLevel="0" collapsed="false">
      <c r="A205" s="2" t="s">
        <v>20</v>
      </c>
      <c r="B205" s="2" t="n">
        <v>2</v>
      </c>
      <c r="C205" s="64" t="n">
        <v>46264</v>
      </c>
      <c r="D205" s="2" t="n">
        <v>3</v>
      </c>
      <c r="E205" s="2" t="s">
        <v>31</v>
      </c>
      <c r="F205" s="2" t="s">
        <v>34</v>
      </c>
      <c r="G205" s="2" t="s">
        <v>32</v>
      </c>
      <c r="H205" s="2" t="s">
        <v>140</v>
      </c>
      <c r="I205" s="2" t="s">
        <v>25</v>
      </c>
      <c r="J205" s="2" t="n">
        <v>62</v>
      </c>
      <c r="K205" s="32" t="s">
        <v>103</v>
      </c>
      <c r="L205" s="15" t="n">
        <f aca="false">SUM(V205:AB205)</f>
        <v>0.000176714586764426</v>
      </c>
      <c r="M205" s="63" t="n">
        <f aca="false">MAX(O205:U205)</f>
        <v>1.5</v>
      </c>
      <c r="N205" s="15" t="n">
        <f aca="false">COUNTIF(M205,"&gt;9.9")</f>
        <v>0</v>
      </c>
      <c r="O205" s="2" t="n">
        <v>1.5</v>
      </c>
      <c r="V205" s="15" t="n">
        <f aca="false">PI()*POWER((O205/200),2)</f>
        <v>0.000176714586764426</v>
      </c>
      <c r="W205" s="15" t="n">
        <f aca="false">PI()*POWER((P205/200),2)</f>
        <v>0</v>
      </c>
      <c r="X205" s="15" t="n">
        <f aca="false">PI()*POWER((Q205/200),2)</f>
        <v>0</v>
      </c>
      <c r="Y205" s="15" t="n">
        <f aca="false">PI()*POWER((R205/200),2)</f>
        <v>0</v>
      </c>
      <c r="Z205" s="15" t="n">
        <f aca="false">PI()*POWER((S205/200),2)</f>
        <v>0</v>
      </c>
      <c r="AA205" s="15" t="n">
        <f aca="false">PI()*POWER((T205/200),2)</f>
        <v>0</v>
      </c>
      <c r="AB205" s="15" t="n">
        <f aca="false">PI()*POWER((U205/200),2)</f>
        <v>0</v>
      </c>
    </row>
    <row r="206" customFormat="false" ht="15" hidden="false" customHeight="false" outlineLevel="0" collapsed="false">
      <c r="A206" s="2" t="s">
        <v>20</v>
      </c>
      <c r="B206" s="2" t="n">
        <v>2</v>
      </c>
      <c r="C206" s="64" t="n">
        <v>46264</v>
      </c>
      <c r="D206" s="2" t="n">
        <v>3</v>
      </c>
      <c r="E206" s="2" t="s">
        <v>31</v>
      </c>
      <c r="F206" s="2" t="s">
        <v>34</v>
      </c>
      <c r="G206" s="2" t="s">
        <v>32</v>
      </c>
      <c r="H206" s="2" t="s">
        <v>140</v>
      </c>
      <c r="I206" s="2" t="s">
        <v>25</v>
      </c>
      <c r="J206" s="2" t="n">
        <v>63</v>
      </c>
      <c r="K206" s="32" t="s">
        <v>103</v>
      </c>
      <c r="L206" s="15" t="n">
        <f aca="false">SUM(V206:AB206)</f>
        <v>0.000176714586764426</v>
      </c>
      <c r="M206" s="63" t="n">
        <f aca="false">MAX(O206:U206)</f>
        <v>1.5</v>
      </c>
      <c r="N206" s="15" t="n">
        <f aca="false">COUNTIF(M206,"&gt;9.9")</f>
        <v>0</v>
      </c>
      <c r="O206" s="2" t="n">
        <v>1.5</v>
      </c>
      <c r="V206" s="15" t="n">
        <f aca="false">PI()*POWER((O206/200),2)</f>
        <v>0.000176714586764426</v>
      </c>
      <c r="W206" s="15" t="n">
        <f aca="false">PI()*POWER((P206/200),2)</f>
        <v>0</v>
      </c>
      <c r="X206" s="15" t="n">
        <f aca="false">PI()*POWER((Q206/200),2)</f>
        <v>0</v>
      </c>
      <c r="Y206" s="15" t="n">
        <f aca="false">PI()*POWER((R206/200),2)</f>
        <v>0</v>
      </c>
      <c r="Z206" s="15" t="n">
        <f aca="false">PI()*POWER((S206/200),2)</f>
        <v>0</v>
      </c>
      <c r="AA206" s="15" t="n">
        <f aca="false">PI()*POWER((T206/200),2)</f>
        <v>0</v>
      </c>
      <c r="AB206" s="15" t="n">
        <f aca="false">PI()*POWER((U206/200),2)</f>
        <v>0</v>
      </c>
    </row>
    <row r="207" customFormat="false" ht="15" hidden="false" customHeight="false" outlineLevel="0" collapsed="false">
      <c r="A207" s="2" t="s">
        <v>20</v>
      </c>
      <c r="B207" s="2" t="n">
        <v>2</v>
      </c>
      <c r="C207" s="64" t="n">
        <v>46264</v>
      </c>
      <c r="D207" s="2" t="n">
        <v>3</v>
      </c>
      <c r="E207" s="2" t="s">
        <v>31</v>
      </c>
      <c r="F207" s="2" t="s">
        <v>34</v>
      </c>
      <c r="G207" s="2" t="s">
        <v>32</v>
      </c>
      <c r="H207" s="2" t="s">
        <v>140</v>
      </c>
      <c r="I207" s="2" t="s">
        <v>25</v>
      </c>
      <c r="J207" s="2" t="n">
        <v>44</v>
      </c>
      <c r="K207" s="32" t="s">
        <v>103</v>
      </c>
      <c r="L207" s="15" t="n">
        <f aca="false">SUM(V207:AB207)</f>
        <v>0.000226980069221863</v>
      </c>
      <c r="M207" s="63" t="n">
        <f aca="false">MAX(O207:U207)</f>
        <v>1.7</v>
      </c>
      <c r="N207" s="15" t="n">
        <f aca="false">COUNTIF(M207,"&gt;9.9")</f>
        <v>0</v>
      </c>
      <c r="O207" s="2" t="n">
        <v>1.7</v>
      </c>
      <c r="V207" s="15" t="n">
        <f aca="false">PI()*POWER((O207/200),2)</f>
        <v>0.000226980069221863</v>
      </c>
      <c r="W207" s="15" t="n">
        <f aca="false">PI()*POWER((P207/200),2)</f>
        <v>0</v>
      </c>
      <c r="X207" s="15" t="n">
        <f aca="false">PI()*POWER((Q207/200),2)</f>
        <v>0</v>
      </c>
      <c r="Y207" s="15" t="n">
        <f aca="false">PI()*POWER((R207/200),2)</f>
        <v>0</v>
      </c>
      <c r="Z207" s="15" t="n">
        <f aca="false">PI()*POWER((S207/200),2)</f>
        <v>0</v>
      </c>
      <c r="AA207" s="15" t="n">
        <f aca="false">PI()*POWER((T207/200),2)</f>
        <v>0</v>
      </c>
      <c r="AB207" s="15" t="n">
        <f aca="false">PI()*POWER((U207/200),2)</f>
        <v>0</v>
      </c>
    </row>
    <row r="208" customFormat="false" ht="15" hidden="false" customHeight="false" outlineLevel="0" collapsed="false">
      <c r="A208" s="2" t="s">
        <v>20</v>
      </c>
      <c r="B208" s="2" t="n">
        <v>2</v>
      </c>
      <c r="C208" s="64" t="n">
        <v>46264</v>
      </c>
      <c r="D208" s="2" t="n">
        <v>3</v>
      </c>
      <c r="E208" s="2" t="s">
        <v>31</v>
      </c>
      <c r="F208" s="2" t="s">
        <v>34</v>
      </c>
      <c r="G208" s="2" t="s">
        <v>32</v>
      </c>
      <c r="H208" s="2" t="s">
        <v>140</v>
      </c>
      <c r="I208" s="2" t="s">
        <v>25</v>
      </c>
      <c r="J208" s="2" t="n">
        <v>47</v>
      </c>
      <c r="K208" s="32" t="s">
        <v>103</v>
      </c>
      <c r="L208" s="15" t="n">
        <f aca="false">SUM(V208:AB208)</f>
        <v>0.000314159265358979</v>
      </c>
      <c r="M208" s="63" t="n">
        <f aca="false">MAX(O208:U208)</f>
        <v>2</v>
      </c>
      <c r="N208" s="15" t="n">
        <f aca="false">COUNTIF(M208,"&gt;9.9")</f>
        <v>0</v>
      </c>
      <c r="O208" s="2" t="n">
        <v>2</v>
      </c>
      <c r="V208" s="15" t="n">
        <f aca="false">PI()*POWER((O208/200),2)</f>
        <v>0.000314159265358979</v>
      </c>
      <c r="W208" s="15" t="n">
        <f aca="false">PI()*POWER((P208/200),2)</f>
        <v>0</v>
      </c>
      <c r="X208" s="15" t="n">
        <f aca="false">PI()*POWER((Q208/200),2)</f>
        <v>0</v>
      </c>
      <c r="Y208" s="15" t="n">
        <f aca="false">PI()*POWER((R208/200),2)</f>
        <v>0</v>
      </c>
      <c r="Z208" s="15" t="n">
        <f aca="false">PI()*POWER((S208/200),2)</f>
        <v>0</v>
      </c>
      <c r="AA208" s="15" t="n">
        <f aca="false">PI()*POWER((T208/200),2)</f>
        <v>0</v>
      </c>
      <c r="AB208" s="15" t="n">
        <f aca="false">PI()*POWER((U208/200),2)</f>
        <v>0</v>
      </c>
    </row>
    <row r="209" customFormat="false" ht="15" hidden="false" customHeight="false" outlineLevel="0" collapsed="false">
      <c r="A209" s="2" t="s">
        <v>20</v>
      </c>
      <c r="B209" s="2" t="n">
        <v>2</v>
      </c>
      <c r="C209" s="64" t="n">
        <v>46264</v>
      </c>
      <c r="D209" s="2" t="n">
        <v>3</v>
      </c>
      <c r="E209" s="2" t="s">
        <v>31</v>
      </c>
      <c r="F209" s="2" t="s">
        <v>34</v>
      </c>
      <c r="G209" s="2" t="s">
        <v>32</v>
      </c>
      <c r="H209" s="2" t="s">
        <v>140</v>
      </c>
      <c r="I209" s="2" t="s">
        <v>25</v>
      </c>
      <c r="J209" s="2" t="n">
        <v>50</v>
      </c>
      <c r="K209" s="32" t="s">
        <v>103</v>
      </c>
      <c r="L209" s="15" t="n">
        <f aca="false">SUM(V209:AB209)</f>
        <v>0.00045238934211693</v>
      </c>
      <c r="M209" s="63" t="n">
        <f aca="false">MAX(O209:U209)</f>
        <v>2.4</v>
      </c>
      <c r="N209" s="15" t="n">
        <f aca="false">COUNTIF(M209,"&gt;9.9")</f>
        <v>0</v>
      </c>
      <c r="O209" s="2" t="n">
        <v>2.4</v>
      </c>
      <c r="V209" s="15" t="n">
        <f aca="false">PI()*POWER((O209/200),2)</f>
        <v>0.00045238934211693</v>
      </c>
      <c r="W209" s="15" t="n">
        <f aca="false">PI()*POWER((P209/200),2)</f>
        <v>0</v>
      </c>
      <c r="X209" s="15" t="n">
        <f aca="false">PI()*POWER((Q209/200),2)</f>
        <v>0</v>
      </c>
      <c r="Y209" s="15" t="n">
        <f aca="false">PI()*POWER((R209/200),2)</f>
        <v>0</v>
      </c>
      <c r="Z209" s="15" t="n">
        <f aca="false">PI()*POWER((S209/200),2)</f>
        <v>0</v>
      </c>
      <c r="AA209" s="15" t="n">
        <f aca="false">PI()*POWER((T209/200),2)</f>
        <v>0</v>
      </c>
      <c r="AB209" s="15" t="n">
        <f aca="false">PI()*POWER((U209/200),2)</f>
        <v>0</v>
      </c>
    </row>
    <row r="210" customFormat="false" ht="15" hidden="false" customHeight="false" outlineLevel="0" collapsed="false">
      <c r="A210" s="2" t="s">
        <v>20</v>
      </c>
      <c r="B210" s="2" t="n">
        <v>2</v>
      </c>
      <c r="C210" s="64" t="n">
        <v>46264</v>
      </c>
      <c r="D210" s="2" t="n">
        <v>3</v>
      </c>
      <c r="E210" s="2" t="s">
        <v>31</v>
      </c>
      <c r="F210" s="2" t="s">
        <v>34</v>
      </c>
      <c r="G210" s="2" t="s">
        <v>32</v>
      </c>
      <c r="H210" s="2" t="s">
        <v>140</v>
      </c>
      <c r="I210" s="2" t="s">
        <v>25</v>
      </c>
      <c r="J210" s="2" t="n">
        <v>46</v>
      </c>
      <c r="K210" s="32" t="s">
        <v>103</v>
      </c>
      <c r="L210" s="15" t="n">
        <f aca="false">SUM(V210:AB210)</f>
        <v>0.000530929158456675</v>
      </c>
      <c r="M210" s="63" t="n">
        <f aca="false">MAX(O210:U210)</f>
        <v>2.6</v>
      </c>
      <c r="N210" s="15" t="n">
        <f aca="false">COUNTIF(M210,"&gt;9.9")</f>
        <v>0</v>
      </c>
      <c r="O210" s="2" t="n">
        <v>2.6</v>
      </c>
      <c r="V210" s="15" t="n">
        <f aca="false">PI()*POWER((O210/200),2)</f>
        <v>0.000530929158456675</v>
      </c>
      <c r="W210" s="15" t="n">
        <f aca="false">PI()*POWER((P210/200),2)</f>
        <v>0</v>
      </c>
      <c r="X210" s="15" t="n">
        <f aca="false">PI()*POWER((Q210/200),2)</f>
        <v>0</v>
      </c>
      <c r="Y210" s="15" t="n">
        <f aca="false">PI()*POWER((R210/200),2)</f>
        <v>0</v>
      </c>
      <c r="Z210" s="15" t="n">
        <f aca="false">PI()*POWER((S210/200),2)</f>
        <v>0</v>
      </c>
      <c r="AA210" s="15" t="n">
        <f aca="false">PI()*POWER((T210/200),2)</f>
        <v>0</v>
      </c>
      <c r="AB210" s="15" t="n">
        <f aca="false">PI()*POWER((U210/200),2)</f>
        <v>0</v>
      </c>
    </row>
    <row r="211" customFormat="false" ht="15" hidden="false" customHeight="false" outlineLevel="0" collapsed="false">
      <c r="A211" s="2" t="s">
        <v>20</v>
      </c>
      <c r="B211" s="2" t="n">
        <v>2</v>
      </c>
      <c r="C211" s="64" t="n">
        <v>46264</v>
      </c>
      <c r="D211" s="2" t="n">
        <v>3</v>
      </c>
      <c r="E211" s="2" t="s">
        <v>31</v>
      </c>
      <c r="F211" s="2" t="s">
        <v>34</v>
      </c>
      <c r="G211" s="2" t="s">
        <v>32</v>
      </c>
      <c r="H211" s="2" t="s">
        <v>140</v>
      </c>
      <c r="I211" s="2" t="s">
        <v>25</v>
      </c>
      <c r="J211" s="2" t="n">
        <v>40</v>
      </c>
      <c r="K211" s="32" t="s">
        <v>103</v>
      </c>
      <c r="L211" s="15" t="n">
        <f aca="false">SUM(V211:AB211)</f>
        <v>0.000706858347057703</v>
      </c>
      <c r="M211" s="63" t="n">
        <f aca="false">MAX(O211:U211)</f>
        <v>3</v>
      </c>
      <c r="N211" s="15" t="n">
        <f aca="false">COUNTIF(M211,"&gt;9.9")</f>
        <v>0</v>
      </c>
      <c r="O211" s="2" t="n">
        <v>3</v>
      </c>
      <c r="V211" s="15" t="n">
        <f aca="false">PI()*POWER((O211/200),2)</f>
        <v>0.000706858347057703</v>
      </c>
      <c r="W211" s="15" t="n">
        <f aca="false">PI()*POWER((P211/200),2)</f>
        <v>0</v>
      </c>
      <c r="X211" s="15" t="n">
        <f aca="false">PI()*POWER((Q211/200),2)</f>
        <v>0</v>
      </c>
      <c r="Y211" s="15" t="n">
        <f aca="false">PI()*POWER((R211/200),2)</f>
        <v>0</v>
      </c>
      <c r="Z211" s="15" t="n">
        <f aca="false">PI()*POWER((S211/200),2)</f>
        <v>0</v>
      </c>
      <c r="AA211" s="15" t="n">
        <f aca="false">PI()*POWER((T211/200),2)</f>
        <v>0</v>
      </c>
      <c r="AB211" s="15" t="n">
        <f aca="false">PI()*POWER((U211/200),2)</f>
        <v>0</v>
      </c>
    </row>
    <row r="212" customFormat="false" ht="15" hidden="false" customHeight="false" outlineLevel="0" collapsed="false">
      <c r="A212" s="2" t="s">
        <v>20</v>
      </c>
      <c r="B212" s="2" t="n">
        <v>2</v>
      </c>
      <c r="C212" s="64" t="n">
        <v>46264</v>
      </c>
      <c r="D212" s="2" t="n">
        <v>3</v>
      </c>
      <c r="E212" s="2" t="s">
        <v>31</v>
      </c>
      <c r="F212" s="2" t="s">
        <v>34</v>
      </c>
      <c r="G212" s="2" t="s">
        <v>32</v>
      </c>
      <c r="H212" s="2" t="s">
        <v>140</v>
      </c>
      <c r="I212" s="2" t="s">
        <v>25</v>
      </c>
      <c r="J212" s="2" t="n">
        <v>51</v>
      </c>
      <c r="K212" s="32" t="s">
        <v>103</v>
      </c>
      <c r="L212" s="15" t="n">
        <f aca="false">SUM(V212:AB212)</f>
        <v>0.000754767635024948</v>
      </c>
      <c r="M212" s="63" t="n">
        <f aca="false">MAX(O212:U212)</f>
        <v>3.1</v>
      </c>
      <c r="N212" s="15" t="n">
        <f aca="false">COUNTIF(M212,"&gt;9.9")</f>
        <v>0</v>
      </c>
      <c r="O212" s="2" t="n">
        <v>3.1</v>
      </c>
      <c r="V212" s="15" t="n">
        <f aca="false">PI()*POWER((O212/200),2)</f>
        <v>0.000754767635024948</v>
      </c>
      <c r="W212" s="15" t="n">
        <f aca="false">PI()*POWER((P212/200),2)</f>
        <v>0</v>
      </c>
      <c r="X212" s="15" t="n">
        <f aca="false">PI()*POWER((Q212/200),2)</f>
        <v>0</v>
      </c>
      <c r="Y212" s="15" t="n">
        <f aca="false">PI()*POWER((R212/200),2)</f>
        <v>0</v>
      </c>
      <c r="Z212" s="15" t="n">
        <f aca="false">PI()*POWER((S212/200),2)</f>
        <v>0</v>
      </c>
      <c r="AA212" s="15" t="n">
        <f aca="false">PI()*POWER((T212/200),2)</f>
        <v>0</v>
      </c>
      <c r="AB212" s="15" t="n">
        <f aca="false">PI()*POWER((U212/200),2)</f>
        <v>0</v>
      </c>
    </row>
    <row r="213" customFormat="false" ht="15" hidden="false" customHeight="false" outlineLevel="0" collapsed="false">
      <c r="A213" s="2" t="s">
        <v>20</v>
      </c>
      <c r="B213" s="2" t="n">
        <v>2</v>
      </c>
      <c r="C213" s="64" t="n">
        <v>46264</v>
      </c>
      <c r="D213" s="2" t="n">
        <v>3</v>
      </c>
      <c r="E213" s="2" t="s">
        <v>31</v>
      </c>
      <c r="F213" s="2" t="s">
        <v>34</v>
      </c>
      <c r="G213" s="2" t="s">
        <v>32</v>
      </c>
      <c r="H213" s="2" t="s">
        <v>140</v>
      </c>
      <c r="I213" s="2" t="s">
        <v>25</v>
      </c>
      <c r="J213" s="2" t="n">
        <v>3</v>
      </c>
      <c r="K213" s="32" t="s">
        <v>103</v>
      </c>
      <c r="L213" s="15" t="n">
        <f aca="false">SUM(V213:AB213)</f>
        <v>0.000804247719318987</v>
      </c>
      <c r="M213" s="63" t="n">
        <f aca="false">MAX(O213:U213)</f>
        <v>3.2</v>
      </c>
      <c r="N213" s="15" t="n">
        <f aca="false">COUNTIF(M213,"&gt;9.9")</f>
        <v>0</v>
      </c>
      <c r="O213" s="2" t="n">
        <v>3.2</v>
      </c>
      <c r="V213" s="15" t="n">
        <f aca="false">PI()*POWER((O213/200),2)</f>
        <v>0.000804247719318987</v>
      </c>
      <c r="W213" s="15" t="n">
        <f aca="false">PI()*POWER((P213/200),2)</f>
        <v>0</v>
      </c>
      <c r="X213" s="15" t="n">
        <f aca="false">PI()*POWER((Q213/200),2)</f>
        <v>0</v>
      </c>
      <c r="Y213" s="15" t="n">
        <f aca="false">PI()*POWER((R213/200),2)</f>
        <v>0</v>
      </c>
      <c r="Z213" s="15" t="n">
        <f aca="false">PI()*POWER((S213/200),2)</f>
        <v>0</v>
      </c>
      <c r="AA213" s="15" t="n">
        <f aca="false">PI()*POWER((T213/200),2)</f>
        <v>0</v>
      </c>
      <c r="AB213" s="15" t="n">
        <f aca="false">PI()*POWER((U213/200),2)</f>
        <v>0</v>
      </c>
    </row>
    <row r="214" customFormat="false" ht="15" hidden="false" customHeight="false" outlineLevel="0" collapsed="false">
      <c r="A214" s="2" t="s">
        <v>20</v>
      </c>
      <c r="B214" s="2" t="n">
        <v>2</v>
      </c>
      <c r="C214" s="64" t="n">
        <v>46264</v>
      </c>
      <c r="D214" s="2" t="n">
        <v>3</v>
      </c>
      <c r="E214" s="2" t="s">
        <v>31</v>
      </c>
      <c r="F214" s="2" t="s">
        <v>34</v>
      </c>
      <c r="G214" s="2" t="s">
        <v>32</v>
      </c>
      <c r="H214" s="2" t="s">
        <v>140</v>
      </c>
      <c r="I214" s="2" t="s">
        <v>25</v>
      </c>
      <c r="J214" s="2" t="n">
        <v>57</v>
      </c>
      <c r="K214" s="32" t="s">
        <v>103</v>
      </c>
      <c r="L214" s="15" t="n">
        <f aca="false">SUM(V214:AB214)</f>
        <v>0.00090792027688745</v>
      </c>
      <c r="M214" s="63" t="n">
        <f aca="false">MAX(O214:U214)</f>
        <v>3.4</v>
      </c>
      <c r="N214" s="15" t="n">
        <f aca="false">COUNTIF(M214,"&gt;9.9")</f>
        <v>0</v>
      </c>
      <c r="O214" s="2" t="n">
        <v>3.4</v>
      </c>
      <c r="V214" s="15" t="n">
        <f aca="false">PI()*POWER((O214/200),2)</f>
        <v>0.00090792027688745</v>
      </c>
      <c r="W214" s="15" t="n">
        <f aca="false">PI()*POWER((P214/200),2)</f>
        <v>0</v>
      </c>
      <c r="X214" s="15" t="n">
        <f aca="false">PI()*POWER((Q214/200),2)</f>
        <v>0</v>
      </c>
      <c r="Y214" s="15" t="n">
        <f aca="false">PI()*POWER((R214/200),2)</f>
        <v>0</v>
      </c>
      <c r="Z214" s="15" t="n">
        <f aca="false">PI()*POWER((S214/200),2)</f>
        <v>0</v>
      </c>
      <c r="AA214" s="15" t="n">
        <f aca="false">PI()*POWER((T214/200),2)</f>
        <v>0</v>
      </c>
      <c r="AB214" s="15" t="n">
        <f aca="false">PI()*POWER((U214/200),2)</f>
        <v>0</v>
      </c>
    </row>
    <row r="215" customFormat="false" ht="15" hidden="false" customHeight="false" outlineLevel="0" collapsed="false">
      <c r="A215" s="2" t="s">
        <v>20</v>
      </c>
      <c r="B215" s="2" t="n">
        <v>2</v>
      </c>
      <c r="C215" s="64" t="n">
        <v>46264</v>
      </c>
      <c r="D215" s="2" t="n">
        <v>3</v>
      </c>
      <c r="E215" s="2" t="s">
        <v>31</v>
      </c>
      <c r="F215" s="2" t="s">
        <v>34</v>
      </c>
      <c r="G215" s="2" t="s">
        <v>32</v>
      </c>
      <c r="H215" s="2" t="s">
        <v>140</v>
      </c>
      <c r="I215" s="2" t="s">
        <v>25</v>
      </c>
      <c r="J215" s="2" t="n">
        <v>56</v>
      </c>
      <c r="K215" s="32" t="s">
        <v>103</v>
      </c>
      <c r="L215" s="15" t="n">
        <f aca="false">SUM(V215:AB215)</f>
        <v>0.000962112750161874</v>
      </c>
      <c r="M215" s="63" t="n">
        <f aca="false">MAX(O215:U215)</f>
        <v>3.5</v>
      </c>
      <c r="N215" s="15" t="n">
        <f aca="false">COUNTIF(M215,"&gt;9.9")</f>
        <v>0</v>
      </c>
      <c r="O215" s="2" t="n">
        <v>3.5</v>
      </c>
      <c r="V215" s="15" t="n">
        <f aca="false">PI()*POWER((O215/200),2)</f>
        <v>0.000962112750161874</v>
      </c>
      <c r="W215" s="15" t="n">
        <f aca="false">PI()*POWER((P215/200),2)</f>
        <v>0</v>
      </c>
      <c r="X215" s="15" t="n">
        <f aca="false">PI()*POWER((Q215/200),2)</f>
        <v>0</v>
      </c>
      <c r="Y215" s="15" t="n">
        <f aca="false">PI()*POWER((R215/200),2)</f>
        <v>0</v>
      </c>
      <c r="Z215" s="15" t="n">
        <f aca="false">PI()*POWER((S215/200),2)</f>
        <v>0</v>
      </c>
      <c r="AA215" s="15" t="n">
        <f aca="false">PI()*POWER((T215/200),2)</f>
        <v>0</v>
      </c>
      <c r="AB215" s="15" t="n">
        <f aca="false">PI()*POWER((U215/200),2)</f>
        <v>0</v>
      </c>
    </row>
    <row r="216" customFormat="false" ht="15" hidden="false" customHeight="false" outlineLevel="0" collapsed="false">
      <c r="A216" s="2" t="s">
        <v>20</v>
      </c>
      <c r="B216" s="2" t="n">
        <v>2</v>
      </c>
      <c r="C216" s="64" t="n">
        <v>46264</v>
      </c>
      <c r="D216" s="2" t="n">
        <v>3</v>
      </c>
      <c r="E216" s="2" t="s">
        <v>31</v>
      </c>
      <c r="F216" s="2" t="s">
        <v>34</v>
      </c>
      <c r="G216" s="2" t="s">
        <v>32</v>
      </c>
      <c r="H216" s="2" t="s">
        <v>140</v>
      </c>
      <c r="I216" s="2" t="s">
        <v>25</v>
      </c>
      <c r="J216" s="2" t="n">
        <v>2</v>
      </c>
      <c r="K216" s="32" t="s">
        <v>103</v>
      </c>
      <c r="L216" s="15" t="n">
        <f aca="false">SUM(V216:AB216)</f>
        <v>0.00119459060652752</v>
      </c>
      <c r="M216" s="63" t="n">
        <f aca="false">MAX(O216:U216)</f>
        <v>3.9</v>
      </c>
      <c r="N216" s="15" t="n">
        <f aca="false">COUNTIF(M216,"&gt;9.9")</f>
        <v>0</v>
      </c>
      <c r="O216" s="2" t="n">
        <v>3.9</v>
      </c>
      <c r="V216" s="15" t="n">
        <f aca="false">PI()*POWER((O216/200),2)</f>
        <v>0.00119459060652752</v>
      </c>
      <c r="W216" s="15" t="n">
        <f aca="false">PI()*POWER((P216/200),2)</f>
        <v>0</v>
      </c>
      <c r="X216" s="15" t="n">
        <f aca="false">PI()*POWER((Q216/200),2)</f>
        <v>0</v>
      </c>
      <c r="Y216" s="15" t="n">
        <f aca="false">PI()*POWER((R216/200),2)</f>
        <v>0</v>
      </c>
      <c r="Z216" s="15" t="n">
        <f aca="false">PI()*POWER((S216/200),2)</f>
        <v>0</v>
      </c>
      <c r="AA216" s="15" t="n">
        <f aca="false">PI()*POWER((T216/200),2)</f>
        <v>0</v>
      </c>
      <c r="AB216" s="15" t="n">
        <f aca="false">PI()*POWER((U216/200),2)</f>
        <v>0</v>
      </c>
    </row>
    <row r="217" customFormat="false" ht="15" hidden="false" customHeight="false" outlineLevel="0" collapsed="false">
      <c r="A217" s="2" t="s">
        <v>20</v>
      </c>
      <c r="B217" s="2" t="n">
        <v>2</v>
      </c>
      <c r="C217" s="64" t="n">
        <v>46264</v>
      </c>
      <c r="D217" s="2" t="n">
        <v>3</v>
      </c>
      <c r="E217" s="2" t="s">
        <v>31</v>
      </c>
      <c r="F217" s="2" t="s">
        <v>34</v>
      </c>
      <c r="G217" s="2" t="s">
        <v>32</v>
      </c>
      <c r="H217" s="2" t="s">
        <v>140</v>
      </c>
      <c r="I217" s="2" t="s">
        <v>25</v>
      </c>
      <c r="J217" s="2" t="n">
        <v>19</v>
      </c>
      <c r="K217" s="32" t="s">
        <v>103</v>
      </c>
      <c r="L217" s="15" t="n">
        <f aca="false">SUM(V217:AB217)</f>
        <v>0.00145220120412188</v>
      </c>
      <c r="M217" s="63" t="n">
        <f aca="false">MAX(O217:U217)</f>
        <v>4.3</v>
      </c>
      <c r="N217" s="15" t="n">
        <f aca="false">COUNTIF(M217,"&gt;9.9")</f>
        <v>0</v>
      </c>
      <c r="O217" s="2" t="n">
        <v>4.3</v>
      </c>
      <c r="V217" s="15" t="n">
        <f aca="false">PI()*POWER((O217/200),2)</f>
        <v>0.00145220120412188</v>
      </c>
      <c r="W217" s="15" t="n">
        <f aca="false">PI()*POWER((P217/200),2)</f>
        <v>0</v>
      </c>
      <c r="X217" s="15" t="n">
        <f aca="false">PI()*POWER((Q217/200),2)</f>
        <v>0</v>
      </c>
      <c r="Y217" s="15" t="n">
        <f aca="false">PI()*POWER((R217/200),2)</f>
        <v>0</v>
      </c>
      <c r="Z217" s="15" t="n">
        <f aca="false">PI()*POWER((S217/200),2)</f>
        <v>0</v>
      </c>
      <c r="AA217" s="15" t="n">
        <f aca="false">PI()*POWER((T217/200),2)</f>
        <v>0</v>
      </c>
      <c r="AB217" s="15" t="n">
        <f aca="false">PI()*POWER((U217/200),2)</f>
        <v>0</v>
      </c>
    </row>
    <row r="218" customFormat="false" ht="15" hidden="false" customHeight="false" outlineLevel="0" collapsed="false">
      <c r="A218" s="2" t="s">
        <v>20</v>
      </c>
      <c r="B218" s="2" t="n">
        <v>2</v>
      </c>
      <c r="C218" s="64" t="n">
        <v>46264</v>
      </c>
      <c r="D218" s="2" t="n">
        <v>3</v>
      </c>
      <c r="E218" s="2" t="s">
        <v>31</v>
      </c>
      <c r="F218" s="2" t="s">
        <v>34</v>
      </c>
      <c r="G218" s="2" t="s">
        <v>32</v>
      </c>
      <c r="H218" s="2" t="s">
        <v>140</v>
      </c>
      <c r="I218" s="2" t="s">
        <v>25</v>
      </c>
      <c r="J218" s="2" t="n">
        <v>43</v>
      </c>
      <c r="K218" s="32" t="s">
        <v>103</v>
      </c>
      <c r="L218" s="15" t="n">
        <f aca="false">SUM(V218:AB218)</f>
        <v>0.00145220120412188</v>
      </c>
      <c r="M218" s="63" t="n">
        <f aca="false">MAX(O218:U218)</f>
        <v>4.3</v>
      </c>
      <c r="N218" s="15" t="n">
        <f aca="false">COUNTIF(M218,"&gt;9.9")</f>
        <v>0</v>
      </c>
      <c r="O218" s="2" t="n">
        <v>4.3</v>
      </c>
      <c r="V218" s="15" t="n">
        <f aca="false">PI()*POWER((O218/200),2)</f>
        <v>0.00145220120412188</v>
      </c>
      <c r="W218" s="15" t="n">
        <f aca="false">PI()*POWER((P218/200),2)</f>
        <v>0</v>
      </c>
      <c r="X218" s="15" t="n">
        <f aca="false">PI()*POWER((Q218/200),2)</f>
        <v>0</v>
      </c>
      <c r="Y218" s="15" t="n">
        <f aca="false">PI()*POWER((R218/200),2)</f>
        <v>0</v>
      </c>
      <c r="Z218" s="15" t="n">
        <f aca="false">PI()*POWER((S218/200),2)</f>
        <v>0</v>
      </c>
      <c r="AA218" s="15" t="n">
        <f aca="false">PI()*POWER((T218/200),2)</f>
        <v>0</v>
      </c>
      <c r="AB218" s="15" t="n">
        <f aca="false">PI()*POWER((U218/200),2)</f>
        <v>0</v>
      </c>
    </row>
    <row r="219" customFormat="false" ht="15" hidden="false" customHeight="false" outlineLevel="0" collapsed="false">
      <c r="A219" s="2" t="s">
        <v>20</v>
      </c>
      <c r="B219" s="2" t="n">
        <v>2</v>
      </c>
      <c r="C219" s="64" t="n">
        <v>46264</v>
      </c>
      <c r="D219" s="2" t="n">
        <v>3</v>
      </c>
      <c r="E219" s="2" t="s">
        <v>31</v>
      </c>
      <c r="F219" s="2" t="s">
        <v>34</v>
      </c>
      <c r="G219" s="2" t="s">
        <v>32</v>
      </c>
      <c r="H219" s="2" t="s">
        <v>140</v>
      </c>
      <c r="I219" s="2" t="s">
        <v>25</v>
      </c>
      <c r="J219" s="2" t="n">
        <v>5</v>
      </c>
      <c r="K219" s="32" t="s">
        <v>103</v>
      </c>
      <c r="L219" s="15" t="n">
        <f aca="false">SUM(V219:AB219)</f>
        <v>0.00152053084433746</v>
      </c>
      <c r="M219" s="63" t="n">
        <f aca="false">MAX(O219:U219)</f>
        <v>4.4</v>
      </c>
      <c r="N219" s="15" t="n">
        <f aca="false">COUNTIF(M219,"&gt;9.9")</f>
        <v>0</v>
      </c>
      <c r="O219" s="2" t="n">
        <v>4.4</v>
      </c>
      <c r="V219" s="15" t="n">
        <f aca="false">PI()*POWER((O219/200),2)</f>
        <v>0.00152053084433746</v>
      </c>
      <c r="W219" s="15" t="n">
        <f aca="false">PI()*POWER((P219/200),2)</f>
        <v>0</v>
      </c>
      <c r="X219" s="15" t="n">
        <f aca="false">PI()*POWER((Q219/200),2)</f>
        <v>0</v>
      </c>
      <c r="Y219" s="15" t="n">
        <f aca="false">PI()*POWER((R219/200),2)</f>
        <v>0</v>
      </c>
      <c r="Z219" s="15" t="n">
        <f aca="false">PI()*POWER((S219/200),2)</f>
        <v>0</v>
      </c>
      <c r="AA219" s="15" t="n">
        <f aca="false">PI()*POWER((T219/200),2)</f>
        <v>0</v>
      </c>
      <c r="AB219" s="15" t="n">
        <f aca="false">PI()*POWER((U219/200),2)</f>
        <v>0</v>
      </c>
    </row>
    <row r="220" customFormat="false" ht="15" hidden="false" customHeight="false" outlineLevel="0" collapsed="false">
      <c r="A220" s="2" t="s">
        <v>20</v>
      </c>
      <c r="B220" s="2" t="n">
        <v>2</v>
      </c>
      <c r="C220" s="64" t="n">
        <v>46264</v>
      </c>
      <c r="D220" s="2" t="n">
        <v>3</v>
      </c>
      <c r="E220" s="2" t="s">
        <v>31</v>
      </c>
      <c r="F220" s="2" t="s">
        <v>34</v>
      </c>
      <c r="G220" s="2" t="s">
        <v>32</v>
      </c>
      <c r="H220" s="2" t="s">
        <v>140</v>
      </c>
      <c r="I220" s="2" t="s">
        <v>25</v>
      </c>
      <c r="J220" s="2" t="n">
        <v>10</v>
      </c>
      <c r="K220" s="32" t="s">
        <v>103</v>
      </c>
      <c r="L220" s="15" t="n">
        <f aca="false">SUM(V220:AB220)</f>
        <v>0.00152053084433746</v>
      </c>
      <c r="M220" s="63" t="n">
        <f aca="false">MAX(O220:U220)</f>
        <v>4.4</v>
      </c>
      <c r="N220" s="15" t="n">
        <f aca="false">COUNTIF(M220,"&gt;9.9")</f>
        <v>0</v>
      </c>
      <c r="O220" s="2" t="n">
        <v>4.4</v>
      </c>
      <c r="V220" s="15" t="n">
        <f aca="false">PI()*POWER((O220/200),2)</f>
        <v>0.00152053084433746</v>
      </c>
      <c r="W220" s="15" t="n">
        <f aca="false">PI()*POWER((P220/200),2)</f>
        <v>0</v>
      </c>
      <c r="X220" s="15" t="n">
        <f aca="false">PI()*POWER((Q220/200),2)</f>
        <v>0</v>
      </c>
      <c r="Y220" s="15" t="n">
        <f aca="false">PI()*POWER((R220/200),2)</f>
        <v>0</v>
      </c>
      <c r="Z220" s="15" t="n">
        <f aca="false">PI()*POWER((S220/200),2)</f>
        <v>0</v>
      </c>
      <c r="AA220" s="15" t="n">
        <f aca="false">PI()*POWER((T220/200),2)</f>
        <v>0</v>
      </c>
      <c r="AB220" s="15" t="n">
        <f aca="false">PI()*POWER((U220/200),2)</f>
        <v>0</v>
      </c>
    </row>
    <row r="221" customFormat="false" ht="15" hidden="false" customHeight="false" outlineLevel="0" collapsed="false">
      <c r="A221" s="2" t="s">
        <v>20</v>
      </c>
      <c r="B221" s="2" t="n">
        <v>2</v>
      </c>
      <c r="C221" s="64" t="n">
        <v>46264</v>
      </c>
      <c r="D221" s="2" t="n">
        <v>3</v>
      </c>
      <c r="E221" s="2" t="s">
        <v>31</v>
      </c>
      <c r="F221" s="2" t="s">
        <v>34</v>
      </c>
      <c r="G221" s="2" t="s">
        <v>32</v>
      </c>
      <c r="H221" s="2" t="s">
        <v>140</v>
      </c>
      <c r="I221" s="2" t="s">
        <v>25</v>
      </c>
      <c r="J221" s="2" t="n">
        <v>16</v>
      </c>
      <c r="K221" s="32" t="s">
        <v>103</v>
      </c>
      <c r="L221" s="15" t="n">
        <f aca="false">SUM(V221:AB221)</f>
        <v>0.0021237166338267</v>
      </c>
      <c r="M221" s="63" t="n">
        <f aca="false">MAX(O221:U221)</f>
        <v>5.2</v>
      </c>
      <c r="N221" s="15" t="n">
        <f aca="false">COUNTIF(M221,"&gt;9.9")</f>
        <v>0</v>
      </c>
      <c r="O221" s="2" t="n">
        <v>5.2</v>
      </c>
      <c r="V221" s="15" t="n">
        <f aca="false">PI()*POWER((O221/200),2)</f>
        <v>0.0021237166338267</v>
      </c>
      <c r="W221" s="15" t="n">
        <f aca="false">PI()*POWER((P221/200),2)</f>
        <v>0</v>
      </c>
      <c r="X221" s="15" t="n">
        <f aca="false">PI()*POWER((Q221/200),2)</f>
        <v>0</v>
      </c>
      <c r="Y221" s="15" t="n">
        <f aca="false">PI()*POWER((R221/200),2)</f>
        <v>0</v>
      </c>
      <c r="Z221" s="15" t="n">
        <f aca="false">PI()*POWER((S221/200),2)</f>
        <v>0</v>
      </c>
      <c r="AA221" s="15" t="n">
        <f aca="false">PI()*POWER((T221/200),2)</f>
        <v>0</v>
      </c>
      <c r="AB221" s="15" t="n">
        <f aca="false">PI()*POWER((U221/200),2)</f>
        <v>0</v>
      </c>
    </row>
    <row r="222" customFormat="false" ht="15" hidden="false" customHeight="false" outlineLevel="0" collapsed="false">
      <c r="A222" s="2" t="s">
        <v>20</v>
      </c>
      <c r="B222" s="2" t="n">
        <v>2</v>
      </c>
      <c r="C222" s="64" t="n">
        <v>46264</v>
      </c>
      <c r="D222" s="2" t="n">
        <v>3</v>
      </c>
      <c r="E222" s="2" t="s">
        <v>31</v>
      </c>
      <c r="F222" s="2" t="s">
        <v>34</v>
      </c>
      <c r="G222" s="2" t="s">
        <v>32</v>
      </c>
      <c r="H222" s="2" t="s">
        <v>140</v>
      </c>
      <c r="I222" s="2" t="s">
        <v>25</v>
      </c>
      <c r="J222" s="2" t="n">
        <v>61</v>
      </c>
      <c r="K222" s="32" t="s">
        <v>103</v>
      </c>
      <c r="L222" s="15" t="n">
        <f aca="false">SUM(V222:AB222)</f>
        <v>0.0021237166338267</v>
      </c>
      <c r="M222" s="63" t="n">
        <f aca="false">MAX(O222:U222)</f>
        <v>5.2</v>
      </c>
      <c r="N222" s="15" t="n">
        <f aca="false">COUNTIF(M222,"&gt;9.9")</f>
        <v>0</v>
      </c>
      <c r="O222" s="2" t="n">
        <v>5.2</v>
      </c>
      <c r="V222" s="15" t="n">
        <f aca="false">PI()*POWER((O222/200),2)</f>
        <v>0.0021237166338267</v>
      </c>
      <c r="W222" s="15" t="n">
        <f aca="false">PI()*POWER((P222/200),2)</f>
        <v>0</v>
      </c>
      <c r="X222" s="15" t="n">
        <f aca="false">PI()*POWER((Q222/200),2)</f>
        <v>0</v>
      </c>
      <c r="Y222" s="15" t="n">
        <f aca="false">PI()*POWER((R222/200),2)</f>
        <v>0</v>
      </c>
      <c r="Z222" s="15" t="n">
        <f aca="false">PI()*POWER((S222/200),2)</f>
        <v>0</v>
      </c>
      <c r="AA222" s="15" t="n">
        <f aca="false">PI()*POWER((T222/200),2)</f>
        <v>0</v>
      </c>
      <c r="AB222" s="15" t="n">
        <f aca="false">PI()*POWER((U222/200),2)</f>
        <v>0</v>
      </c>
    </row>
    <row r="223" customFormat="false" ht="15" hidden="false" customHeight="false" outlineLevel="0" collapsed="false">
      <c r="A223" s="2" t="s">
        <v>20</v>
      </c>
      <c r="B223" s="2" t="n">
        <v>2</v>
      </c>
      <c r="C223" s="64" t="n">
        <v>46264</v>
      </c>
      <c r="D223" s="2" t="n">
        <v>3</v>
      </c>
      <c r="E223" s="2" t="s">
        <v>31</v>
      </c>
      <c r="F223" s="2" t="s">
        <v>34</v>
      </c>
      <c r="G223" s="2" t="s">
        <v>32</v>
      </c>
      <c r="H223" s="2" t="s">
        <v>140</v>
      </c>
      <c r="I223" s="2" t="s">
        <v>25</v>
      </c>
      <c r="J223" s="2" t="n">
        <v>31</v>
      </c>
      <c r="K223" s="32" t="s">
        <v>103</v>
      </c>
      <c r="L223" s="15" t="n">
        <f aca="false">SUM(V223:AB223)</f>
        <v>0.00237582944427728</v>
      </c>
      <c r="M223" s="63" t="n">
        <f aca="false">MAX(O223:U223)</f>
        <v>5.5</v>
      </c>
      <c r="N223" s="15" t="n">
        <f aca="false">COUNTIF(M223,"&gt;9.9")</f>
        <v>0</v>
      </c>
      <c r="O223" s="2" t="n">
        <v>5.5</v>
      </c>
      <c r="V223" s="15" t="n">
        <f aca="false">PI()*POWER((O223/200),2)</f>
        <v>0.00237582944427728</v>
      </c>
      <c r="W223" s="15" t="n">
        <f aca="false">PI()*POWER((P223/200),2)</f>
        <v>0</v>
      </c>
      <c r="X223" s="15" t="n">
        <f aca="false">PI()*POWER((Q223/200),2)</f>
        <v>0</v>
      </c>
      <c r="Y223" s="15" t="n">
        <f aca="false">PI()*POWER((R223/200),2)</f>
        <v>0</v>
      </c>
      <c r="Z223" s="15" t="n">
        <f aca="false">PI()*POWER((S223/200),2)</f>
        <v>0</v>
      </c>
      <c r="AA223" s="15" t="n">
        <f aca="false">PI()*POWER((T223/200),2)</f>
        <v>0</v>
      </c>
      <c r="AB223" s="15" t="n">
        <f aca="false">PI()*POWER((U223/200),2)</f>
        <v>0</v>
      </c>
    </row>
    <row r="224" customFormat="false" ht="15" hidden="false" customHeight="false" outlineLevel="0" collapsed="false">
      <c r="A224" s="2" t="s">
        <v>20</v>
      </c>
      <c r="B224" s="2" t="n">
        <v>2</v>
      </c>
      <c r="C224" s="64" t="n">
        <v>46264</v>
      </c>
      <c r="D224" s="2" t="n">
        <v>3</v>
      </c>
      <c r="E224" s="2" t="s">
        <v>31</v>
      </c>
      <c r="F224" s="2" t="s">
        <v>34</v>
      </c>
      <c r="G224" s="2" t="s">
        <v>32</v>
      </c>
      <c r="H224" s="2" t="s">
        <v>140</v>
      </c>
      <c r="I224" s="2" t="s">
        <v>25</v>
      </c>
      <c r="J224" s="2" t="n">
        <v>11</v>
      </c>
      <c r="K224" s="32" t="s">
        <v>103</v>
      </c>
      <c r="L224" s="15" t="n">
        <f aca="false">SUM(V224:AB224)</f>
        <v>0.00264207942166902</v>
      </c>
      <c r="M224" s="63" t="n">
        <f aca="false">MAX(O224:U224)</f>
        <v>5.8</v>
      </c>
      <c r="N224" s="15" t="n">
        <f aca="false">COUNTIF(M224,"&gt;9.9")</f>
        <v>0</v>
      </c>
      <c r="O224" s="2" t="n">
        <v>5.8</v>
      </c>
      <c r="V224" s="15" t="n">
        <f aca="false">PI()*POWER((O224/200),2)</f>
        <v>0.00264207942166902</v>
      </c>
      <c r="W224" s="15" t="n">
        <f aca="false">PI()*POWER((P224/200),2)</f>
        <v>0</v>
      </c>
      <c r="X224" s="15" t="n">
        <f aca="false">PI()*POWER((Q224/200),2)</f>
        <v>0</v>
      </c>
      <c r="Y224" s="15" t="n">
        <f aca="false">PI()*POWER((R224/200),2)</f>
        <v>0</v>
      </c>
      <c r="Z224" s="15" t="n">
        <f aca="false">PI()*POWER((S224/200),2)</f>
        <v>0</v>
      </c>
      <c r="AA224" s="15" t="n">
        <f aca="false">PI()*POWER((T224/200),2)</f>
        <v>0</v>
      </c>
      <c r="AB224" s="15" t="n">
        <f aca="false">PI()*POWER((U224/200),2)</f>
        <v>0</v>
      </c>
    </row>
    <row r="225" customFormat="false" ht="15" hidden="false" customHeight="false" outlineLevel="0" collapsed="false">
      <c r="A225" s="2" t="s">
        <v>20</v>
      </c>
      <c r="B225" s="2" t="n">
        <v>2</v>
      </c>
      <c r="C225" s="64" t="n">
        <v>46264</v>
      </c>
      <c r="D225" s="2" t="n">
        <v>3</v>
      </c>
      <c r="E225" s="2" t="s">
        <v>31</v>
      </c>
      <c r="F225" s="2" t="s">
        <v>34</v>
      </c>
      <c r="G225" s="2" t="s">
        <v>32</v>
      </c>
      <c r="H225" s="2" t="s">
        <v>140</v>
      </c>
      <c r="I225" s="2" t="s">
        <v>25</v>
      </c>
      <c r="J225" s="2" t="n">
        <v>9</v>
      </c>
      <c r="K225" s="32" t="s">
        <v>103</v>
      </c>
      <c r="L225" s="15" t="n">
        <f aca="false">SUM(V225:AB225)</f>
        <v>0.00282743338823081</v>
      </c>
      <c r="M225" s="63" t="n">
        <f aca="false">MAX(O225:U225)</f>
        <v>6</v>
      </c>
      <c r="N225" s="15" t="n">
        <f aca="false">COUNTIF(M225,"&gt;9.9")</f>
        <v>0</v>
      </c>
      <c r="O225" s="2" t="n">
        <v>6</v>
      </c>
      <c r="V225" s="15" t="n">
        <f aca="false">PI()*POWER((O225/200),2)</f>
        <v>0.00282743338823081</v>
      </c>
      <c r="W225" s="15" t="n">
        <f aca="false">PI()*POWER((P225/200),2)</f>
        <v>0</v>
      </c>
      <c r="X225" s="15" t="n">
        <f aca="false">PI()*POWER((Q225/200),2)</f>
        <v>0</v>
      </c>
      <c r="Y225" s="15" t="n">
        <f aca="false">PI()*POWER((R225/200),2)</f>
        <v>0</v>
      </c>
      <c r="Z225" s="15" t="n">
        <f aca="false">PI()*POWER((S225/200),2)</f>
        <v>0</v>
      </c>
      <c r="AA225" s="15" t="n">
        <f aca="false">PI()*POWER((T225/200),2)</f>
        <v>0</v>
      </c>
      <c r="AB225" s="15" t="n">
        <f aca="false">PI()*POWER((U225/200),2)</f>
        <v>0</v>
      </c>
    </row>
    <row r="226" customFormat="false" ht="15" hidden="false" customHeight="false" outlineLevel="0" collapsed="false">
      <c r="A226" s="2" t="s">
        <v>20</v>
      </c>
      <c r="B226" s="2" t="n">
        <v>2</v>
      </c>
      <c r="C226" s="64" t="n">
        <v>46264</v>
      </c>
      <c r="D226" s="2" t="n">
        <v>3</v>
      </c>
      <c r="E226" s="2" t="s">
        <v>31</v>
      </c>
      <c r="F226" s="2" t="s">
        <v>34</v>
      </c>
      <c r="G226" s="2" t="s">
        <v>32</v>
      </c>
      <c r="H226" s="2" t="s">
        <v>140</v>
      </c>
      <c r="I226" s="2" t="s">
        <v>25</v>
      </c>
      <c r="J226" s="2" t="n">
        <v>15</v>
      </c>
      <c r="K226" s="32" t="s">
        <v>103</v>
      </c>
      <c r="L226" s="15" t="n">
        <f aca="false">SUM(V226:AB226)</f>
        <v>0.00282743338823081</v>
      </c>
      <c r="M226" s="63" t="n">
        <f aca="false">MAX(O226:U226)</f>
        <v>6</v>
      </c>
      <c r="N226" s="15" t="n">
        <f aca="false">COUNTIF(M226,"&gt;9.9")</f>
        <v>0</v>
      </c>
      <c r="O226" s="2" t="n">
        <v>6</v>
      </c>
      <c r="V226" s="15" t="n">
        <f aca="false">PI()*POWER((O226/200),2)</f>
        <v>0.00282743338823081</v>
      </c>
      <c r="W226" s="15" t="n">
        <f aca="false">PI()*POWER((P226/200),2)</f>
        <v>0</v>
      </c>
      <c r="X226" s="15" t="n">
        <f aca="false">PI()*POWER((Q226/200),2)</f>
        <v>0</v>
      </c>
      <c r="Y226" s="15" t="n">
        <f aca="false">PI()*POWER((R226/200),2)</f>
        <v>0</v>
      </c>
      <c r="Z226" s="15" t="n">
        <f aca="false">PI()*POWER((S226/200),2)</f>
        <v>0</v>
      </c>
      <c r="AA226" s="15" t="n">
        <f aca="false">PI()*POWER((T226/200),2)</f>
        <v>0</v>
      </c>
      <c r="AB226" s="15" t="n">
        <f aca="false">PI()*POWER((U226/200),2)</f>
        <v>0</v>
      </c>
    </row>
    <row r="227" customFormat="false" ht="15" hidden="false" customHeight="false" outlineLevel="0" collapsed="false">
      <c r="A227" s="2" t="s">
        <v>20</v>
      </c>
      <c r="B227" s="2" t="n">
        <v>2</v>
      </c>
      <c r="C227" s="64" t="n">
        <v>46264</v>
      </c>
      <c r="D227" s="2" t="n">
        <v>3</v>
      </c>
      <c r="E227" s="2" t="s">
        <v>31</v>
      </c>
      <c r="F227" s="2" t="s">
        <v>34</v>
      </c>
      <c r="G227" s="2" t="s">
        <v>32</v>
      </c>
      <c r="H227" s="2" t="s">
        <v>140</v>
      </c>
      <c r="I227" s="2" t="s">
        <v>25</v>
      </c>
      <c r="J227" s="2" t="n">
        <v>53</v>
      </c>
      <c r="K227" s="32" t="s">
        <v>103</v>
      </c>
      <c r="L227" s="15" t="n">
        <f aca="false">SUM(V227:AB227)</f>
        <v>0.00373928065593525</v>
      </c>
      <c r="M227" s="63" t="n">
        <f aca="false">MAX(O227:U227)</f>
        <v>6.9</v>
      </c>
      <c r="N227" s="15" t="n">
        <f aca="false">COUNTIF(M227,"&gt;9.9")</f>
        <v>0</v>
      </c>
      <c r="O227" s="2" t="n">
        <v>6.9</v>
      </c>
      <c r="V227" s="15" t="n">
        <f aca="false">PI()*POWER((O227/200),2)</f>
        <v>0.00373928065593525</v>
      </c>
      <c r="W227" s="15" t="n">
        <f aca="false">PI()*POWER((P227/200),2)</f>
        <v>0</v>
      </c>
      <c r="X227" s="15" t="n">
        <f aca="false">PI()*POWER((Q227/200),2)</f>
        <v>0</v>
      </c>
      <c r="Y227" s="15" t="n">
        <f aca="false">PI()*POWER((R227/200),2)</f>
        <v>0</v>
      </c>
      <c r="Z227" s="15" t="n">
        <f aca="false">PI()*POWER((S227/200),2)</f>
        <v>0</v>
      </c>
      <c r="AA227" s="15" t="n">
        <f aca="false">PI()*POWER((T227/200),2)</f>
        <v>0</v>
      </c>
      <c r="AB227" s="15" t="n">
        <f aca="false">PI()*POWER((U227/200),2)</f>
        <v>0</v>
      </c>
    </row>
    <row r="228" customFormat="false" ht="15" hidden="false" customHeight="false" outlineLevel="0" collapsed="false">
      <c r="A228" s="2" t="s">
        <v>20</v>
      </c>
      <c r="B228" s="2" t="n">
        <v>2</v>
      </c>
      <c r="C228" s="64" t="n">
        <v>46264</v>
      </c>
      <c r="D228" s="2" t="n">
        <v>3</v>
      </c>
      <c r="E228" s="2" t="s">
        <v>31</v>
      </c>
      <c r="F228" s="2" t="s">
        <v>34</v>
      </c>
      <c r="G228" s="2" t="s">
        <v>32</v>
      </c>
      <c r="H228" s="2" t="s">
        <v>140</v>
      </c>
      <c r="I228" s="2" t="s">
        <v>25</v>
      </c>
      <c r="J228" s="2" t="n">
        <v>48</v>
      </c>
      <c r="K228" s="32" t="s">
        <v>103</v>
      </c>
      <c r="L228" s="15" t="n">
        <f aca="false">SUM(V228:AB228)</f>
        <v>0.00395919214168654</v>
      </c>
      <c r="M228" s="63" t="n">
        <f aca="false">MAX(O228:U228)</f>
        <v>7.1</v>
      </c>
      <c r="N228" s="15" t="n">
        <f aca="false">COUNTIF(M228,"&gt;9.9")</f>
        <v>0</v>
      </c>
      <c r="O228" s="2" t="n">
        <v>7.1</v>
      </c>
      <c r="V228" s="15" t="n">
        <f aca="false">PI()*POWER((O228/200),2)</f>
        <v>0.00395919214168654</v>
      </c>
      <c r="W228" s="15" t="n">
        <f aca="false">PI()*POWER((P228/200),2)</f>
        <v>0</v>
      </c>
      <c r="X228" s="15" t="n">
        <f aca="false">PI()*POWER((Q228/200),2)</f>
        <v>0</v>
      </c>
      <c r="Y228" s="15" t="n">
        <f aca="false">PI()*POWER((R228/200),2)</f>
        <v>0</v>
      </c>
      <c r="Z228" s="15" t="n">
        <f aca="false">PI()*POWER((S228/200),2)</f>
        <v>0</v>
      </c>
      <c r="AA228" s="15" t="n">
        <f aca="false">PI()*POWER((T228/200),2)</f>
        <v>0</v>
      </c>
      <c r="AB228" s="15" t="n">
        <f aca="false">PI()*POWER((U228/200),2)</f>
        <v>0</v>
      </c>
    </row>
    <row r="229" customFormat="false" ht="15" hidden="false" customHeight="false" outlineLevel="0" collapsed="false">
      <c r="A229" s="2" t="s">
        <v>20</v>
      </c>
      <c r="B229" s="2" t="n">
        <v>2</v>
      </c>
      <c r="C229" s="64" t="n">
        <v>46264</v>
      </c>
      <c r="D229" s="2" t="n">
        <v>3</v>
      </c>
      <c r="E229" s="2" t="s">
        <v>31</v>
      </c>
      <c r="F229" s="2" t="s">
        <v>34</v>
      </c>
      <c r="G229" s="2" t="s">
        <v>32</v>
      </c>
      <c r="H229" s="2" t="s">
        <v>140</v>
      </c>
      <c r="I229" s="2" t="s">
        <v>25</v>
      </c>
      <c r="J229" s="2" t="n">
        <v>45</v>
      </c>
      <c r="K229" s="32" t="s">
        <v>103</v>
      </c>
      <c r="L229" s="15" t="n">
        <f aca="false">SUM(V229:AB229)</f>
        <v>0.00689893746728319</v>
      </c>
      <c r="M229" s="63" t="n">
        <f aca="false">MAX(O229:U229)</f>
        <v>7.2</v>
      </c>
      <c r="N229" s="15" t="n">
        <f aca="false">COUNTIF(M229,"&gt;9.9")</f>
        <v>0</v>
      </c>
      <c r="O229" s="2" t="n">
        <v>7.2</v>
      </c>
      <c r="P229" s="2" t="n">
        <v>6</v>
      </c>
      <c r="V229" s="15" t="n">
        <f aca="false">PI()*POWER((O229/200),2)</f>
        <v>0.00407150407905237</v>
      </c>
      <c r="W229" s="15" t="n">
        <f aca="false">PI()*POWER((P229/200),2)</f>
        <v>0.00282743338823081</v>
      </c>
      <c r="X229" s="15" t="n">
        <f aca="false">PI()*POWER((Q229/200),2)</f>
        <v>0</v>
      </c>
      <c r="Y229" s="15" t="n">
        <f aca="false">PI()*POWER((R229/200),2)</f>
        <v>0</v>
      </c>
      <c r="Z229" s="15" t="n">
        <f aca="false">PI()*POWER((S229/200),2)</f>
        <v>0</v>
      </c>
      <c r="AA229" s="15" t="n">
        <f aca="false">PI()*POWER((T229/200),2)</f>
        <v>0</v>
      </c>
      <c r="AB229" s="15" t="n">
        <f aca="false">PI()*POWER((U229/200),2)</f>
        <v>0</v>
      </c>
    </row>
    <row r="230" customFormat="false" ht="15" hidden="false" customHeight="false" outlineLevel="0" collapsed="false">
      <c r="A230" s="2" t="s">
        <v>20</v>
      </c>
      <c r="B230" s="2" t="n">
        <v>2</v>
      </c>
      <c r="C230" s="64" t="n">
        <v>46264</v>
      </c>
      <c r="D230" s="2" t="n">
        <v>3</v>
      </c>
      <c r="E230" s="2" t="s">
        <v>31</v>
      </c>
      <c r="F230" s="2" t="s">
        <v>34</v>
      </c>
      <c r="G230" s="2" t="s">
        <v>32</v>
      </c>
      <c r="H230" s="2" t="s">
        <v>140</v>
      </c>
      <c r="I230" s="2" t="s">
        <v>25</v>
      </c>
      <c r="J230" s="2" t="n">
        <v>22</v>
      </c>
      <c r="K230" s="32" t="s">
        <v>103</v>
      </c>
      <c r="L230" s="15" t="n">
        <f aca="false">SUM(V230:AB230)</f>
        <v>0.00515299735005066</v>
      </c>
      <c r="M230" s="63" t="n">
        <f aca="false">MAX(O230:U230)</f>
        <v>8.1</v>
      </c>
      <c r="N230" s="15" t="n">
        <f aca="false">COUNTIF(M230,"&gt;9.9")</f>
        <v>0</v>
      </c>
      <c r="O230" s="2" t="n">
        <v>8.1</v>
      </c>
      <c r="V230" s="15" t="n">
        <f aca="false">PI()*POWER((O230/200),2)</f>
        <v>0.00515299735005066</v>
      </c>
      <c r="W230" s="15" t="n">
        <f aca="false">PI()*POWER((P230/200),2)</f>
        <v>0</v>
      </c>
      <c r="X230" s="15" t="n">
        <f aca="false">PI()*POWER((Q230/200),2)</f>
        <v>0</v>
      </c>
      <c r="Y230" s="15" t="n">
        <f aca="false">PI()*POWER((R230/200),2)</f>
        <v>0</v>
      </c>
      <c r="Z230" s="15" t="n">
        <f aca="false">PI()*POWER((S230/200),2)</f>
        <v>0</v>
      </c>
      <c r="AA230" s="15" t="n">
        <f aca="false">PI()*POWER((T230/200),2)</f>
        <v>0</v>
      </c>
      <c r="AB230" s="15" t="n">
        <f aca="false">PI()*POWER((U230/200),2)</f>
        <v>0</v>
      </c>
    </row>
    <row r="231" customFormat="false" ht="15" hidden="false" customHeight="false" outlineLevel="0" collapsed="false">
      <c r="A231" s="2" t="s">
        <v>20</v>
      </c>
      <c r="B231" s="2" t="n">
        <v>2</v>
      </c>
      <c r="C231" s="64" t="n">
        <v>46264</v>
      </c>
      <c r="D231" s="2" t="n">
        <v>3</v>
      </c>
      <c r="E231" s="2" t="s">
        <v>31</v>
      </c>
      <c r="F231" s="2" t="s">
        <v>34</v>
      </c>
      <c r="G231" s="2" t="s">
        <v>32</v>
      </c>
      <c r="H231" s="2" t="s">
        <v>140</v>
      </c>
      <c r="I231" s="2" t="s">
        <v>25</v>
      </c>
      <c r="J231" s="2" t="n">
        <v>32</v>
      </c>
      <c r="K231" s="32" t="s">
        <v>103</v>
      </c>
      <c r="L231" s="15" t="n">
        <f aca="false">SUM(V231:AB231)</f>
        <v>0.00515299735005066</v>
      </c>
      <c r="M231" s="63" t="n">
        <f aca="false">MAX(O231:U231)</f>
        <v>8.1</v>
      </c>
      <c r="N231" s="15" t="n">
        <f aca="false">COUNTIF(M231,"&gt;9.9")</f>
        <v>0</v>
      </c>
      <c r="O231" s="2" t="n">
        <v>8.1</v>
      </c>
      <c r="V231" s="15" t="n">
        <f aca="false">PI()*POWER((O231/200),2)</f>
        <v>0.00515299735005066</v>
      </c>
      <c r="W231" s="15" t="n">
        <f aca="false">PI()*POWER((P231/200),2)</f>
        <v>0</v>
      </c>
      <c r="X231" s="15" t="n">
        <f aca="false">PI()*POWER((Q231/200),2)</f>
        <v>0</v>
      </c>
      <c r="Y231" s="15" t="n">
        <f aca="false">PI()*POWER((R231/200),2)</f>
        <v>0</v>
      </c>
      <c r="Z231" s="15" t="n">
        <f aca="false">PI()*POWER((S231/200),2)</f>
        <v>0</v>
      </c>
      <c r="AA231" s="15" t="n">
        <f aca="false">PI()*POWER((T231/200),2)</f>
        <v>0</v>
      </c>
      <c r="AB231" s="15" t="n">
        <f aca="false">PI()*POWER((U231/200),2)</f>
        <v>0</v>
      </c>
    </row>
    <row r="232" customFormat="false" ht="15" hidden="false" customHeight="false" outlineLevel="0" collapsed="false">
      <c r="A232" s="2" t="s">
        <v>20</v>
      </c>
      <c r="B232" s="2" t="n">
        <v>2</v>
      </c>
      <c r="C232" s="64" t="n">
        <v>46264</v>
      </c>
      <c r="D232" s="2" t="n">
        <v>3</v>
      </c>
      <c r="E232" s="2" t="s">
        <v>31</v>
      </c>
      <c r="F232" s="2" t="s">
        <v>34</v>
      </c>
      <c r="G232" s="2" t="s">
        <v>32</v>
      </c>
      <c r="H232" s="2" t="s">
        <v>140</v>
      </c>
      <c r="I232" s="2" t="s">
        <v>25</v>
      </c>
      <c r="J232" s="2" t="n">
        <v>26</v>
      </c>
      <c r="K232" s="32" t="s">
        <v>103</v>
      </c>
      <c r="L232" s="15" t="n">
        <f aca="false">SUM(V232:AB232)</f>
        <v>0.00594467869875529</v>
      </c>
      <c r="M232" s="63" t="n">
        <f aca="false">MAX(O232:U232)</f>
        <v>8.7</v>
      </c>
      <c r="N232" s="15" t="n">
        <f aca="false">COUNTIF(M232,"&gt;9.9")</f>
        <v>0</v>
      </c>
      <c r="O232" s="2" t="n">
        <v>8.7</v>
      </c>
      <c r="V232" s="15" t="n">
        <f aca="false">PI()*POWER((O232/200),2)</f>
        <v>0.00594467869875529</v>
      </c>
      <c r="W232" s="15" t="n">
        <f aca="false">PI()*POWER((P232/200),2)</f>
        <v>0</v>
      </c>
      <c r="X232" s="15" t="n">
        <f aca="false">PI()*POWER((Q232/200),2)</f>
        <v>0</v>
      </c>
      <c r="Y232" s="15" t="n">
        <f aca="false">PI()*POWER((R232/200),2)</f>
        <v>0</v>
      </c>
      <c r="Z232" s="15" t="n">
        <f aca="false">PI()*POWER((S232/200),2)</f>
        <v>0</v>
      </c>
      <c r="AA232" s="15" t="n">
        <f aca="false">PI()*POWER((T232/200),2)</f>
        <v>0</v>
      </c>
      <c r="AB232" s="15" t="n">
        <f aca="false">PI()*POWER((U232/200),2)</f>
        <v>0</v>
      </c>
    </row>
    <row r="233" customFormat="false" ht="15" hidden="false" customHeight="false" outlineLevel="0" collapsed="false">
      <c r="A233" s="2" t="s">
        <v>20</v>
      </c>
      <c r="B233" s="2" t="n">
        <v>2</v>
      </c>
      <c r="C233" s="64" t="n">
        <v>46264</v>
      </c>
      <c r="D233" s="2" t="n">
        <v>3</v>
      </c>
      <c r="E233" s="2" t="s">
        <v>31</v>
      </c>
      <c r="F233" s="2" t="s">
        <v>34</v>
      </c>
      <c r="G233" s="2" t="s">
        <v>32</v>
      </c>
      <c r="H233" s="2" t="s">
        <v>140</v>
      </c>
      <c r="I233" s="2" t="s">
        <v>25</v>
      </c>
      <c r="J233" s="2" t="n">
        <v>21</v>
      </c>
      <c r="K233" s="32" t="s">
        <v>103</v>
      </c>
      <c r="L233" s="15" t="n">
        <f aca="false">SUM(V233:AB233)</f>
        <v>0.00693977817177985</v>
      </c>
      <c r="M233" s="63" t="n">
        <f aca="false">MAX(O233:U233)</f>
        <v>9.4</v>
      </c>
      <c r="N233" s="15" t="n">
        <f aca="false">COUNTIF(M233,"&gt;9.9")</f>
        <v>0</v>
      </c>
      <c r="O233" s="2" t="n">
        <v>9.4</v>
      </c>
      <c r="V233" s="15" t="n">
        <f aca="false">PI()*POWER((O233/200),2)</f>
        <v>0.00693977817177985</v>
      </c>
      <c r="W233" s="15" t="n">
        <f aca="false">PI()*POWER((P233/200),2)</f>
        <v>0</v>
      </c>
      <c r="X233" s="15" t="n">
        <f aca="false">PI()*POWER((Q233/200),2)</f>
        <v>0</v>
      </c>
      <c r="Y233" s="15" t="n">
        <f aca="false">PI()*POWER((R233/200),2)</f>
        <v>0</v>
      </c>
      <c r="Z233" s="15" t="n">
        <f aca="false">PI()*POWER((S233/200),2)</f>
        <v>0</v>
      </c>
      <c r="AA233" s="15" t="n">
        <f aca="false">PI()*POWER((T233/200),2)</f>
        <v>0</v>
      </c>
      <c r="AB233" s="15" t="n">
        <f aca="false">PI()*POWER((U233/200),2)</f>
        <v>0</v>
      </c>
    </row>
    <row r="234" customFormat="false" ht="15" hidden="false" customHeight="false" outlineLevel="0" collapsed="false">
      <c r="A234" s="2" t="s">
        <v>20</v>
      </c>
      <c r="B234" s="2" t="n">
        <v>2</v>
      </c>
      <c r="C234" s="64" t="n">
        <v>46264</v>
      </c>
      <c r="D234" s="2" t="n">
        <v>3</v>
      </c>
      <c r="E234" s="2" t="s">
        <v>31</v>
      </c>
      <c r="F234" s="2" t="s">
        <v>34</v>
      </c>
      <c r="G234" s="2" t="s">
        <v>32</v>
      </c>
      <c r="H234" s="2" t="s">
        <v>140</v>
      </c>
      <c r="I234" s="2" t="s">
        <v>25</v>
      </c>
      <c r="J234" s="2" t="n">
        <v>52</v>
      </c>
      <c r="K234" s="32" t="s">
        <v>103</v>
      </c>
      <c r="L234" s="15" t="n">
        <f aca="false">SUM(V234:AB234)</f>
        <v>0.0109366694253095</v>
      </c>
      <c r="M234" s="63" t="n">
        <f aca="false">MAX(O234:U234)</f>
        <v>9.5</v>
      </c>
      <c r="N234" s="15" t="n">
        <f aca="false">COUNTIF(M234,"&gt;9.9")</f>
        <v>0</v>
      </c>
      <c r="O234" s="2" t="n">
        <v>7</v>
      </c>
      <c r="P234" s="2" t="n">
        <v>9.5</v>
      </c>
      <c r="V234" s="15" t="n">
        <f aca="false">PI()*POWER((O234/200),2)</f>
        <v>0.0038484510006475</v>
      </c>
      <c r="W234" s="15" t="n">
        <f aca="false">PI()*POWER((P234/200),2)</f>
        <v>0.00708821842466197</v>
      </c>
      <c r="X234" s="15" t="n">
        <f aca="false">PI()*POWER((Q234/200),2)</f>
        <v>0</v>
      </c>
      <c r="Y234" s="15" t="n">
        <f aca="false">PI()*POWER((R234/200),2)</f>
        <v>0</v>
      </c>
      <c r="Z234" s="15" t="n">
        <f aca="false">PI()*POWER((S234/200),2)</f>
        <v>0</v>
      </c>
      <c r="AA234" s="15" t="n">
        <f aca="false">PI()*POWER((T234/200),2)</f>
        <v>0</v>
      </c>
      <c r="AB234" s="15" t="n">
        <f aca="false">PI()*POWER((U234/200),2)</f>
        <v>0</v>
      </c>
    </row>
    <row r="235" customFormat="false" ht="15" hidden="false" customHeight="false" outlineLevel="0" collapsed="false">
      <c r="A235" s="2" t="s">
        <v>20</v>
      </c>
      <c r="B235" s="2" t="n">
        <v>2</v>
      </c>
      <c r="C235" s="64" t="n">
        <v>46264</v>
      </c>
      <c r="D235" s="2" t="n">
        <v>3</v>
      </c>
      <c r="E235" s="2" t="s">
        <v>31</v>
      </c>
      <c r="F235" s="2" t="s">
        <v>34</v>
      </c>
      <c r="G235" s="2" t="s">
        <v>32</v>
      </c>
      <c r="H235" s="2" t="s">
        <v>140</v>
      </c>
      <c r="I235" s="2" t="s">
        <v>25</v>
      </c>
      <c r="J235" s="2" t="n">
        <v>58</v>
      </c>
      <c r="K235" s="32" t="s">
        <v>103</v>
      </c>
      <c r="L235" s="15" t="n">
        <f aca="false">SUM(V235:AB235)</f>
        <v>0.00757909227678538</v>
      </c>
      <c r="M235" s="63" t="n">
        <f aca="false">MAX(O235:U235)</f>
        <v>9.5</v>
      </c>
      <c r="N235" s="15" t="n">
        <f aca="false">COUNTIF(M235,"&gt;9.9")</f>
        <v>0</v>
      </c>
      <c r="O235" s="2" t="n">
        <v>9.5</v>
      </c>
      <c r="P235" s="2" t="n">
        <v>2.5</v>
      </c>
      <c r="V235" s="15" t="n">
        <f aca="false">PI()*POWER((O235/200),2)</f>
        <v>0.00708821842466197</v>
      </c>
      <c r="W235" s="15" t="n">
        <f aca="false">PI()*POWER((P235/200),2)</f>
        <v>0.000490873852123405</v>
      </c>
      <c r="X235" s="15" t="n">
        <f aca="false">PI()*POWER((Q235/200),2)</f>
        <v>0</v>
      </c>
      <c r="Y235" s="15" t="n">
        <f aca="false">PI()*POWER((R235/200),2)</f>
        <v>0</v>
      </c>
      <c r="Z235" s="15" t="n">
        <f aca="false">PI()*POWER((S235/200),2)</f>
        <v>0</v>
      </c>
      <c r="AA235" s="15" t="n">
        <f aca="false">PI()*POWER((T235/200),2)</f>
        <v>0</v>
      </c>
      <c r="AB235" s="15" t="n">
        <f aca="false">PI()*POWER((U235/200),2)</f>
        <v>0</v>
      </c>
    </row>
    <row r="236" customFormat="false" ht="15" hidden="false" customHeight="false" outlineLevel="0" collapsed="false">
      <c r="A236" s="2" t="s">
        <v>20</v>
      </c>
      <c r="B236" s="2" t="n">
        <v>2</v>
      </c>
      <c r="C236" s="64" t="n">
        <v>46264</v>
      </c>
      <c r="D236" s="2" t="n">
        <v>3</v>
      </c>
      <c r="E236" s="2" t="s">
        <v>31</v>
      </c>
      <c r="F236" s="2" t="s">
        <v>34</v>
      </c>
      <c r="G236" s="2" t="s">
        <v>32</v>
      </c>
      <c r="H236" s="2" t="s">
        <v>140</v>
      </c>
      <c r="I236" s="2" t="s">
        <v>25</v>
      </c>
      <c r="J236" s="2" t="n">
        <v>59</v>
      </c>
      <c r="K236" s="32" t="s">
        <v>103</v>
      </c>
      <c r="L236" s="15" t="n">
        <f aca="false">SUM(V236:AB236)</f>
        <v>0.00785398163397448</v>
      </c>
      <c r="M236" s="63" t="n">
        <f aca="false">MAX(O236:U236)</f>
        <v>10</v>
      </c>
      <c r="N236" s="15" t="n">
        <f aca="false">COUNTIF(M236,"&gt;9.9")</f>
        <v>1</v>
      </c>
      <c r="O236" s="2" t="n">
        <v>10</v>
      </c>
      <c r="V236" s="15" t="n">
        <f aca="false">PI()*POWER((O236/200),2)</f>
        <v>0.00785398163397448</v>
      </c>
      <c r="W236" s="15" t="n">
        <f aca="false">PI()*POWER((P236/200),2)</f>
        <v>0</v>
      </c>
      <c r="X236" s="15" t="n">
        <f aca="false">PI()*POWER((Q236/200),2)</f>
        <v>0</v>
      </c>
      <c r="Y236" s="15" t="n">
        <f aca="false">PI()*POWER((R236/200),2)</f>
        <v>0</v>
      </c>
      <c r="Z236" s="15" t="n">
        <f aca="false">PI()*POWER((S236/200),2)</f>
        <v>0</v>
      </c>
      <c r="AA236" s="15" t="n">
        <f aca="false">PI()*POWER((T236/200),2)</f>
        <v>0</v>
      </c>
      <c r="AB236" s="15" t="n">
        <f aca="false">PI()*POWER((U236/200),2)</f>
        <v>0</v>
      </c>
    </row>
    <row r="237" customFormat="false" ht="15" hidden="false" customHeight="false" outlineLevel="0" collapsed="false">
      <c r="A237" s="2" t="s">
        <v>20</v>
      </c>
      <c r="B237" s="2" t="n">
        <v>2</v>
      </c>
      <c r="C237" s="64" t="n">
        <v>46264</v>
      </c>
      <c r="D237" s="2" t="n">
        <v>3</v>
      </c>
      <c r="E237" s="2" t="s">
        <v>31</v>
      </c>
      <c r="F237" s="2" t="s">
        <v>34</v>
      </c>
      <c r="G237" s="2" t="s">
        <v>32</v>
      </c>
      <c r="H237" s="2" t="s">
        <v>140</v>
      </c>
      <c r="I237" s="2" t="s">
        <v>25</v>
      </c>
      <c r="J237" s="2" t="n">
        <v>36</v>
      </c>
      <c r="K237" s="32" t="s">
        <v>103</v>
      </c>
      <c r="L237" s="15" t="n">
        <f aca="false">SUM(V237:AB237)</f>
        <v>0.0084948665353068</v>
      </c>
      <c r="M237" s="63" t="n">
        <f aca="false">MAX(O237:U237)</f>
        <v>10.4</v>
      </c>
      <c r="N237" s="15" t="n">
        <f aca="false">COUNTIF(M237,"&gt;9.9")</f>
        <v>1</v>
      </c>
      <c r="O237" s="2" t="n">
        <v>10.4</v>
      </c>
      <c r="V237" s="15" t="n">
        <f aca="false">PI()*POWER((O237/200),2)</f>
        <v>0.0084948665353068</v>
      </c>
      <c r="W237" s="15" t="n">
        <f aca="false">PI()*POWER((P237/200),2)</f>
        <v>0</v>
      </c>
      <c r="X237" s="15" t="n">
        <f aca="false">PI()*POWER((Q237/200),2)</f>
        <v>0</v>
      </c>
      <c r="Y237" s="15" t="n">
        <f aca="false">PI()*POWER((R237/200),2)</f>
        <v>0</v>
      </c>
      <c r="Z237" s="15" t="n">
        <f aca="false">PI()*POWER((S237/200),2)</f>
        <v>0</v>
      </c>
      <c r="AA237" s="15" t="n">
        <f aca="false">PI()*POWER((T237/200),2)</f>
        <v>0</v>
      </c>
      <c r="AB237" s="15" t="n">
        <f aca="false">PI()*POWER((U237/200),2)</f>
        <v>0</v>
      </c>
    </row>
    <row r="238" customFormat="false" ht="15" hidden="false" customHeight="false" outlineLevel="0" collapsed="false">
      <c r="A238" s="2" t="s">
        <v>20</v>
      </c>
      <c r="B238" s="2" t="n">
        <v>2</v>
      </c>
      <c r="C238" s="64" t="n">
        <v>46264</v>
      </c>
      <c r="D238" s="2" t="n">
        <v>3</v>
      </c>
      <c r="E238" s="2" t="s">
        <v>31</v>
      </c>
      <c r="F238" s="2" t="s">
        <v>34</v>
      </c>
      <c r="G238" s="2" t="s">
        <v>32</v>
      </c>
      <c r="H238" s="2" t="s">
        <v>140</v>
      </c>
      <c r="I238" s="2" t="s">
        <v>25</v>
      </c>
      <c r="J238" s="2" t="n">
        <v>30</v>
      </c>
      <c r="K238" s="32" t="s">
        <v>103</v>
      </c>
      <c r="L238" s="15" t="n">
        <f aca="false">SUM(V238:AB238)</f>
        <v>0.00865901475145687</v>
      </c>
      <c r="M238" s="63" t="n">
        <f aca="false">MAX(O238:U238)</f>
        <v>10.5</v>
      </c>
      <c r="N238" s="15" t="n">
        <f aca="false">COUNTIF(M238,"&gt;9.9")</f>
        <v>1</v>
      </c>
      <c r="O238" s="2" t="n">
        <v>10.5</v>
      </c>
      <c r="V238" s="15" t="n">
        <f aca="false">PI()*POWER((O238/200),2)</f>
        <v>0.00865901475145687</v>
      </c>
      <c r="W238" s="15" t="n">
        <f aca="false">PI()*POWER((P238/200),2)</f>
        <v>0</v>
      </c>
      <c r="X238" s="15" t="n">
        <f aca="false">PI()*POWER((Q238/200),2)</f>
        <v>0</v>
      </c>
      <c r="Y238" s="15" t="n">
        <f aca="false">PI()*POWER((R238/200),2)</f>
        <v>0</v>
      </c>
      <c r="Z238" s="15" t="n">
        <f aca="false">PI()*POWER((S238/200),2)</f>
        <v>0</v>
      </c>
      <c r="AA238" s="15" t="n">
        <f aca="false">PI()*POWER((T238/200),2)</f>
        <v>0</v>
      </c>
      <c r="AB238" s="15" t="n">
        <f aca="false">PI()*POWER((U238/200),2)</f>
        <v>0</v>
      </c>
    </row>
    <row r="239" customFormat="false" ht="15" hidden="false" customHeight="false" outlineLevel="0" collapsed="false">
      <c r="A239" s="2" t="s">
        <v>20</v>
      </c>
      <c r="B239" s="2" t="n">
        <v>2</v>
      </c>
      <c r="C239" s="64" t="n">
        <v>46264</v>
      </c>
      <c r="D239" s="2" t="n">
        <v>3</v>
      </c>
      <c r="E239" s="2" t="s">
        <v>31</v>
      </c>
      <c r="F239" s="2" t="s">
        <v>34</v>
      </c>
      <c r="G239" s="2" t="s">
        <v>32</v>
      </c>
      <c r="H239" s="2" t="s">
        <v>140</v>
      </c>
      <c r="I239" s="2" t="s">
        <v>25</v>
      </c>
      <c r="J239" s="2" t="n">
        <v>12</v>
      </c>
      <c r="K239" s="32" t="s">
        <v>103</v>
      </c>
      <c r="L239" s="15" t="n">
        <f aca="false">SUM(V239:AB239)</f>
        <v>0.0113097335529233</v>
      </c>
      <c r="M239" s="63" t="n">
        <f aca="false">MAX(O239:U239)</f>
        <v>12</v>
      </c>
      <c r="N239" s="15" t="n">
        <f aca="false">COUNTIF(M239,"&gt;9.9")</f>
        <v>1</v>
      </c>
      <c r="O239" s="2" t="n">
        <v>12</v>
      </c>
      <c r="V239" s="15" t="n">
        <f aca="false">PI()*POWER((O239/200),2)</f>
        <v>0.0113097335529233</v>
      </c>
      <c r="W239" s="15" t="n">
        <f aca="false">PI()*POWER((P239/200),2)</f>
        <v>0</v>
      </c>
      <c r="X239" s="15" t="n">
        <f aca="false">PI()*POWER((Q239/200),2)</f>
        <v>0</v>
      </c>
      <c r="Y239" s="15" t="n">
        <f aca="false">PI()*POWER((R239/200),2)</f>
        <v>0</v>
      </c>
      <c r="Z239" s="15" t="n">
        <f aca="false">PI()*POWER((S239/200),2)</f>
        <v>0</v>
      </c>
      <c r="AA239" s="15" t="n">
        <f aca="false">PI()*POWER((T239/200),2)</f>
        <v>0</v>
      </c>
      <c r="AB239" s="15" t="n">
        <f aca="false">PI()*POWER((U239/200),2)</f>
        <v>0</v>
      </c>
    </row>
    <row r="240" customFormat="false" ht="15" hidden="false" customHeight="false" outlineLevel="0" collapsed="false">
      <c r="A240" s="2" t="s">
        <v>20</v>
      </c>
      <c r="B240" s="2" t="n">
        <v>2</v>
      </c>
      <c r="C240" s="64" t="n">
        <v>46264</v>
      </c>
      <c r="D240" s="2" t="n">
        <v>3</v>
      </c>
      <c r="E240" s="2" t="s">
        <v>31</v>
      </c>
      <c r="F240" s="2" t="s">
        <v>34</v>
      </c>
      <c r="G240" s="2" t="s">
        <v>32</v>
      </c>
      <c r="H240" s="2" t="s">
        <v>140</v>
      </c>
      <c r="I240" s="2" t="s">
        <v>25</v>
      </c>
      <c r="J240" s="2" t="n">
        <v>55</v>
      </c>
      <c r="K240" s="32" t="s">
        <v>103</v>
      </c>
      <c r="L240" s="15" t="n">
        <f aca="false">SUM(V240:AB240)</f>
        <v>0.0120762821603992</v>
      </c>
      <c r="M240" s="63" t="n">
        <f aca="false">MAX(O240:U240)</f>
        <v>12.4</v>
      </c>
      <c r="N240" s="15" t="n">
        <f aca="false">COUNTIF(M240,"&gt;9.9")</f>
        <v>1</v>
      </c>
      <c r="O240" s="2" t="n">
        <v>12.4</v>
      </c>
      <c r="V240" s="15" t="n">
        <f aca="false">PI()*POWER((O240/200),2)</f>
        <v>0.0120762821603992</v>
      </c>
      <c r="W240" s="15" t="n">
        <f aca="false">PI()*POWER((P240/200),2)</f>
        <v>0</v>
      </c>
      <c r="X240" s="15" t="n">
        <f aca="false">PI()*POWER((Q240/200),2)</f>
        <v>0</v>
      </c>
      <c r="Y240" s="15" t="n">
        <f aca="false">PI()*POWER((R240/200),2)</f>
        <v>0</v>
      </c>
      <c r="Z240" s="15" t="n">
        <f aca="false">PI()*POWER((S240/200),2)</f>
        <v>0</v>
      </c>
      <c r="AA240" s="15" t="n">
        <f aca="false">PI()*POWER((T240/200),2)</f>
        <v>0</v>
      </c>
      <c r="AB240" s="15" t="n">
        <f aca="false">PI()*POWER((U240/200),2)</f>
        <v>0</v>
      </c>
    </row>
    <row r="241" customFormat="false" ht="15" hidden="false" customHeight="false" outlineLevel="0" collapsed="false">
      <c r="A241" s="2" t="s">
        <v>20</v>
      </c>
      <c r="B241" s="2" t="n">
        <v>2</v>
      </c>
      <c r="C241" s="64" t="n">
        <v>46264</v>
      </c>
      <c r="D241" s="2" t="n">
        <v>3</v>
      </c>
      <c r="E241" s="2" t="s">
        <v>31</v>
      </c>
      <c r="F241" s="2" t="s">
        <v>34</v>
      </c>
      <c r="G241" s="2" t="s">
        <v>32</v>
      </c>
      <c r="H241" s="2" t="s">
        <v>140</v>
      </c>
      <c r="I241" s="2" t="s">
        <v>25</v>
      </c>
      <c r="J241" s="2" t="n">
        <v>38</v>
      </c>
      <c r="K241" s="32" t="s">
        <v>103</v>
      </c>
      <c r="L241" s="15" t="n">
        <f aca="false">SUM(V241:AB241)</f>
        <v>0.0143138815279185</v>
      </c>
      <c r="M241" s="63" t="n">
        <f aca="false">MAX(O241:U241)</f>
        <v>13.5</v>
      </c>
      <c r="N241" s="15" t="n">
        <f aca="false">COUNTIF(M241,"&gt;9.9")</f>
        <v>1</v>
      </c>
      <c r="O241" s="2" t="n">
        <v>13.5</v>
      </c>
      <c r="V241" s="15" t="n">
        <f aca="false">PI()*POWER((O241/200),2)</f>
        <v>0.0143138815279185</v>
      </c>
      <c r="W241" s="15" t="n">
        <f aca="false">PI()*POWER((P241/200),2)</f>
        <v>0</v>
      </c>
      <c r="X241" s="15" t="n">
        <f aca="false">PI()*POWER((Q241/200),2)</f>
        <v>0</v>
      </c>
      <c r="Y241" s="15" t="n">
        <f aca="false">PI()*POWER((R241/200),2)</f>
        <v>0</v>
      </c>
      <c r="Z241" s="15" t="n">
        <f aca="false">PI()*POWER((S241/200),2)</f>
        <v>0</v>
      </c>
      <c r="AA241" s="15" t="n">
        <f aca="false">PI()*POWER((T241/200),2)</f>
        <v>0</v>
      </c>
      <c r="AB241" s="15" t="n">
        <f aca="false">PI()*POWER((U241/200),2)</f>
        <v>0</v>
      </c>
    </row>
    <row r="242" customFormat="false" ht="15" hidden="false" customHeight="false" outlineLevel="0" collapsed="false">
      <c r="A242" s="2" t="s">
        <v>20</v>
      </c>
      <c r="B242" s="2" t="n">
        <v>2</v>
      </c>
      <c r="C242" s="64" t="n">
        <v>46264</v>
      </c>
      <c r="D242" s="2" t="n">
        <v>3</v>
      </c>
      <c r="E242" s="2" t="s">
        <v>31</v>
      </c>
      <c r="F242" s="2" t="s">
        <v>34</v>
      </c>
      <c r="G242" s="2" t="s">
        <v>32</v>
      </c>
      <c r="H242" s="2" t="s">
        <v>140</v>
      </c>
      <c r="I242" s="2" t="s">
        <v>25</v>
      </c>
      <c r="J242" s="2" t="n">
        <v>4</v>
      </c>
      <c r="K242" s="32" t="s">
        <v>103</v>
      </c>
      <c r="L242" s="15" t="n">
        <f aca="false">SUM(V242:AB242)</f>
        <v>0.0257618451575997</v>
      </c>
      <c r="M242" s="63" t="n">
        <f aca="false">MAX(O242:U242)</f>
        <v>15.1</v>
      </c>
      <c r="N242" s="15" t="n">
        <f aca="false">COUNTIF(M242,"&gt;9.9")</f>
        <v>1</v>
      </c>
      <c r="O242" s="2" t="n">
        <v>10</v>
      </c>
      <c r="P242" s="2" t="n">
        <v>15.1</v>
      </c>
      <c r="V242" s="15" t="n">
        <f aca="false">PI()*POWER((O242/200),2)</f>
        <v>0.00785398163397448</v>
      </c>
      <c r="W242" s="15" t="n">
        <f aca="false">PI()*POWER((P242/200),2)</f>
        <v>0.0179078635236252</v>
      </c>
      <c r="X242" s="15" t="n">
        <f aca="false">PI()*POWER((Q242/200),2)</f>
        <v>0</v>
      </c>
      <c r="Y242" s="15" t="n">
        <f aca="false">PI()*POWER((R242/200),2)</f>
        <v>0</v>
      </c>
      <c r="Z242" s="15" t="n">
        <f aca="false">PI()*POWER((S242/200),2)</f>
        <v>0</v>
      </c>
      <c r="AA242" s="15" t="n">
        <f aca="false">PI()*POWER((T242/200),2)</f>
        <v>0</v>
      </c>
      <c r="AB242" s="15" t="n">
        <f aca="false">PI()*POWER((U242/200),2)</f>
        <v>0</v>
      </c>
    </row>
    <row r="243" customFormat="false" ht="15" hidden="false" customHeight="false" outlineLevel="0" collapsed="false">
      <c r="A243" s="2" t="s">
        <v>20</v>
      </c>
      <c r="B243" s="2" t="n">
        <v>2</v>
      </c>
      <c r="C243" s="64" t="n">
        <v>46264</v>
      </c>
      <c r="D243" s="2" t="n">
        <v>3</v>
      </c>
      <c r="E243" s="2" t="s">
        <v>31</v>
      </c>
      <c r="F243" s="2" t="s">
        <v>34</v>
      </c>
      <c r="G243" s="2" t="s">
        <v>32</v>
      </c>
      <c r="H243" s="2" t="s">
        <v>140</v>
      </c>
      <c r="I243" s="2" t="s">
        <v>25</v>
      </c>
      <c r="J243" s="2" t="n">
        <v>25</v>
      </c>
      <c r="K243" s="32" t="s">
        <v>103</v>
      </c>
      <c r="L243" s="15" t="n">
        <f aca="false">SUM(V243:AB243)</f>
        <v>0.0179078635236252</v>
      </c>
      <c r="M243" s="63" t="n">
        <f aca="false">MAX(O243:U243)</f>
        <v>15.1</v>
      </c>
      <c r="N243" s="15" t="n">
        <f aca="false">COUNTIF(M243,"&gt;9.9")</f>
        <v>1</v>
      </c>
      <c r="O243" s="2" t="n">
        <v>15.1</v>
      </c>
      <c r="V243" s="15" t="n">
        <f aca="false">PI()*POWER((O243/200),2)</f>
        <v>0.0179078635236252</v>
      </c>
      <c r="W243" s="15" t="n">
        <f aca="false">PI()*POWER((P243/200),2)</f>
        <v>0</v>
      </c>
      <c r="X243" s="15" t="n">
        <f aca="false">PI()*POWER((Q243/200),2)</f>
        <v>0</v>
      </c>
      <c r="Y243" s="15" t="n">
        <f aca="false">PI()*POWER((R243/200),2)</f>
        <v>0</v>
      </c>
      <c r="Z243" s="15" t="n">
        <f aca="false">PI()*POWER((S243/200),2)</f>
        <v>0</v>
      </c>
      <c r="AA243" s="15" t="n">
        <f aca="false">PI()*POWER((T243/200),2)</f>
        <v>0</v>
      </c>
      <c r="AB243" s="15" t="n">
        <f aca="false">PI()*POWER((U243/200),2)</f>
        <v>0</v>
      </c>
    </row>
    <row r="244" customFormat="false" ht="15" hidden="false" customHeight="false" outlineLevel="0" collapsed="false">
      <c r="A244" s="2" t="s">
        <v>20</v>
      </c>
      <c r="B244" s="2" t="n">
        <v>2</v>
      </c>
      <c r="C244" s="64" t="n">
        <v>46264</v>
      </c>
      <c r="D244" s="2" t="n">
        <v>3</v>
      </c>
      <c r="E244" s="2" t="s">
        <v>31</v>
      </c>
      <c r="F244" s="2" t="s">
        <v>34</v>
      </c>
      <c r="G244" s="2" t="s">
        <v>32</v>
      </c>
      <c r="H244" s="2" t="s">
        <v>140</v>
      </c>
      <c r="I244" s="2" t="s">
        <v>25</v>
      </c>
      <c r="J244" s="2" t="n">
        <v>6</v>
      </c>
      <c r="K244" s="32" t="s">
        <v>103</v>
      </c>
      <c r="L244" s="15" t="n">
        <f aca="false">SUM(V244:AB244)</f>
        <v>0.0201061929829747</v>
      </c>
      <c r="M244" s="63" t="n">
        <f aca="false">MAX(O244:U244)</f>
        <v>16</v>
      </c>
      <c r="N244" s="15" t="n">
        <f aca="false">COUNTIF(M244,"&gt;9.9")</f>
        <v>1</v>
      </c>
      <c r="O244" s="2" t="n">
        <v>16</v>
      </c>
      <c r="V244" s="15" t="n">
        <f aca="false">PI()*POWER((O244/200),2)</f>
        <v>0.0201061929829747</v>
      </c>
      <c r="W244" s="15" t="n">
        <f aca="false">PI()*POWER((P244/200),2)</f>
        <v>0</v>
      </c>
      <c r="X244" s="15" t="n">
        <f aca="false">PI()*POWER((Q244/200),2)</f>
        <v>0</v>
      </c>
      <c r="Y244" s="15" t="n">
        <f aca="false">PI()*POWER((R244/200),2)</f>
        <v>0</v>
      </c>
      <c r="Z244" s="15" t="n">
        <f aca="false">PI()*POWER((S244/200),2)</f>
        <v>0</v>
      </c>
      <c r="AA244" s="15" t="n">
        <f aca="false">PI()*POWER((T244/200),2)</f>
        <v>0</v>
      </c>
      <c r="AB244" s="15" t="n">
        <f aca="false">PI()*POWER((U244/200),2)</f>
        <v>0</v>
      </c>
    </row>
    <row r="245" customFormat="false" ht="15" hidden="false" customHeight="false" outlineLevel="0" collapsed="false">
      <c r="A245" s="2" t="s">
        <v>20</v>
      </c>
      <c r="B245" s="2" t="n">
        <v>2</v>
      </c>
      <c r="C245" s="64" t="n">
        <v>46264</v>
      </c>
      <c r="D245" s="2" t="n">
        <v>3</v>
      </c>
      <c r="E245" s="2" t="s">
        <v>31</v>
      </c>
      <c r="F245" s="2" t="s">
        <v>34</v>
      </c>
      <c r="G245" s="2" t="s">
        <v>32</v>
      </c>
      <c r="H245" s="2" t="s">
        <v>140</v>
      </c>
      <c r="I245" s="2" t="s">
        <v>25</v>
      </c>
      <c r="J245" s="2" t="n">
        <v>13</v>
      </c>
      <c r="K245" s="32" t="s">
        <v>103</v>
      </c>
      <c r="L245" s="15" t="n">
        <f aca="false">SUM(V245:AB245)</f>
        <v>0.0280135816920602</v>
      </c>
      <c r="M245" s="63" t="n">
        <f aca="false">MAX(O245:U245)</f>
        <v>17.2</v>
      </c>
      <c r="N245" s="15" t="n">
        <f aca="false">COUNTIF(M245,"&gt;9.9")</f>
        <v>1</v>
      </c>
      <c r="O245" s="2" t="n">
        <v>17.2</v>
      </c>
      <c r="P245" s="2" t="n">
        <v>7.8</v>
      </c>
      <c r="V245" s="15" t="n">
        <f aca="false">PI()*POWER((O245/200),2)</f>
        <v>0.0232352192659501</v>
      </c>
      <c r="W245" s="15" t="n">
        <f aca="false">PI()*POWER((P245/200),2)</f>
        <v>0.00477836242611008</v>
      </c>
      <c r="X245" s="15" t="n">
        <f aca="false">PI()*POWER((Q245/200),2)</f>
        <v>0</v>
      </c>
      <c r="Y245" s="15" t="n">
        <f aca="false">PI()*POWER((R245/200),2)</f>
        <v>0</v>
      </c>
      <c r="Z245" s="15" t="n">
        <f aca="false">PI()*POWER((S245/200),2)</f>
        <v>0</v>
      </c>
      <c r="AA245" s="15" t="n">
        <f aca="false">PI()*POWER((T245/200),2)</f>
        <v>0</v>
      </c>
      <c r="AB245" s="15" t="n">
        <f aca="false">PI()*POWER((U245/200),2)</f>
        <v>0</v>
      </c>
    </row>
    <row r="246" customFormat="false" ht="15" hidden="false" customHeight="false" outlineLevel="0" collapsed="false">
      <c r="A246" s="2" t="s">
        <v>20</v>
      </c>
      <c r="B246" s="2" t="n">
        <v>2</v>
      </c>
      <c r="C246" s="64" t="n">
        <v>46264</v>
      </c>
      <c r="D246" s="2" t="n">
        <v>3</v>
      </c>
      <c r="E246" s="2" t="s">
        <v>31</v>
      </c>
      <c r="F246" s="2" t="s">
        <v>34</v>
      </c>
      <c r="G246" s="2" t="s">
        <v>32</v>
      </c>
      <c r="H246" s="2" t="s">
        <v>140</v>
      </c>
      <c r="I246" s="2" t="s">
        <v>25</v>
      </c>
      <c r="J246" s="2" t="n">
        <v>23</v>
      </c>
      <c r="K246" s="32" t="s">
        <v>103</v>
      </c>
      <c r="L246" s="15" t="n">
        <f aca="false">SUM(V246:AB246)</f>
        <v>0.023687608608067</v>
      </c>
      <c r="M246" s="63" t="n">
        <f aca="false">MAX(O246:U246)</f>
        <v>17.2</v>
      </c>
      <c r="N246" s="15" t="n">
        <f aca="false">COUNTIF(M246,"&gt;9.9")</f>
        <v>1</v>
      </c>
      <c r="O246" s="2" t="n">
        <v>17.2</v>
      </c>
      <c r="P246" s="2" t="n">
        <v>2.4</v>
      </c>
      <c r="V246" s="15" t="n">
        <f aca="false">PI()*POWER((O246/200),2)</f>
        <v>0.0232352192659501</v>
      </c>
      <c r="W246" s="15" t="n">
        <f aca="false">PI()*POWER((P246/200),2)</f>
        <v>0.00045238934211693</v>
      </c>
      <c r="X246" s="15" t="n">
        <f aca="false">PI()*POWER((Q246/200),2)</f>
        <v>0</v>
      </c>
      <c r="Y246" s="15" t="n">
        <f aca="false">PI()*POWER((R246/200),2)</f>
        <v>0</v>
      </c>
      <c r="Z246" s="15" t="n">
        <f aca="false">PI()*POWER((S246/200),2)</f>
        <v>0</v>
      </c>
      <c r="AA246" s="15" t="n">
        <f aca="false">PI()*POWER((T246/200),2)</f>
        <v>0</v>
      </c>
      <c r="AB246" s="15" t="n">
        <f aca="false">PI()*POWER((U246/200),2)</f>
        <v>0</v>
      </c>
    </row>
    <row r="247" customFormat="false" ht="15" hidden="false" customHeight="false" outlineLevel="0" collapsed="false">
      <c r="A247" s="2" t="s">
        <v>20</v>
      </c>
      <c r="B247" s="2" t="n">
        <v>2</v>
      </c>
      <c r="C247" s="64" t="n">
        <v>46264</v>
      </c>
      <c r="D247" s="2" t="n">
        <v>3</v>
      </c>
      <c r="E247" s="2" t="s">
        <v>31</v>
      </c>
      <c r="F247" s="2" t="s">
        <v>34</v>
      </c>
      <c r="G247" s="2" t="s">
        <v>32</v>
      </c>
      <c r="H247" s="2" t="s">
        <v>140</v>
      </c>
      <c r="I247" s="2" t="s">
        <v>25</v>
      </c>
      <c r="J247" s="2" t="n">
        <v>41</v>
      </c>
      <c r="K247" s="32" t="s">
        <v>103</v>
      </c>
      <c r="L247" s="15" t="n">
        <f aca="false">SUM(V247:AB247)</f>
        <v>0.0273546326329697</v>
      </c>
      <c r="M247" s="63" t="n">
        <f aca="false">MAX(O247:U247)</f>
        <v>17.3</v>
      </c>
      <c r="N247" s="15" t="n">
        <f aca="false">COUNTIF(M247,"&gt;9.9")</f>
        <v>1</v>
      </c>
      <c r="O247" s="2" t="n">
        <v>17.3</v>
      </c>
      <c r="P247" s="2" t="n">
        <v>7</v>
      </c>
      <c r="V247" s="15" t="n">
        <f aca="false">PI()*POWER((O247/200),2)</f>
        <v>0.0235061816323222</v>
      </c>
      <c r="W247" s="15" t="n">
        <f aca="false">PI()*POWER((P247/200),2)</f>
        <v>0.0038484510006475</v>
      </c>
      <c r="X247" s="15" t="n">
        <f aca="false">PI()*POWER((Q247/200),2)</f>
        <v>0</v>
      </c>
      <c r="Y247" s="15" t="n">
        <f aca="false">PI()*POWER((R247/200),2)</f>
        <v>0</v>
      </c>
      <c r="Z247" s="15" t="n">
        <f aca="false">PI()*POWER((S247/200),2)</f>
        <v>0</v>
      </c>
      <c r="AA247" s="15" t="n">
        <f aca="false">PI()*POWER((T247/200),2)</f>
        <v>0</v>
      </c>
      <c r="AB247" s="15" t="n">
        <f aca="false">PI()*POWER((U247/200),2)</f>
        <v>0</v>
      </c>
    </row>
    <row r="248" customFormat="false" ht="15" hidden="false" customHeight="false" outlineLevel="0" collapsed="false">
      <c r="A248" s="2" t="s">
        <v>20</v>
      </c>
      <c r="B248" s="2" t="n">
        <v>2</v>
      </c>
      <c r="C248" s="64" t="n">
        <v>46264</v>
      </c>
      <c r="D248" s="2" t="n">
        <v>3</v>
      </c>
      <c r="E248" s="2" t="s">
        <v>31</v>
      </c>
      <c r="F248" s="2" t="s">
        <v>34</v>
      </c>
      <c r="G248" s="2" t="s">
        <v>32</v>
      </c>
      <c r="H248" s="2" t="s">
        <v>140</v>
      </c>
      <c r="I248" s="2" t="s">
        <v>25</v>
      </c>
      <c r="J248" s="2" t="n">
        <v>34</v>
      </c>
      <c r="K248" s="32" t="s">
        <v>103</v>
      </c>
      <c r="L248" s="15" t="n">
        <f aca="false">SUM(V248:AB248)</f>
        <v>0.0243284935093994</v>
      </c>
      <c r="M248" s="63" t="n">
        <f aca="false">MAX(O248:U248)</f>
        <v>17.6</v>
      </c>
      <c r="N248" s="15" t="n">
        <f aca="false">COUNTIF(M248,"&gt;9.9")</f>
        <v>1</v>
      </c>
      <c r="O248" s="2" t="n">
        <v>17.6</v>
      </c>
      <c r="V248" s="15" t="n">
        <f aca="false">PI()*POWER((O248/200),2)</f>
        <v>0.0243284935093994</v>
      </c>
      <c r="W248" s="15" t="n">
        <f aca="false">PI()*POWER((P248/200),2)</f>
        <v>0</v>
      </c>
      <c r="X248" s="15" t="n">
        <f aca="false">PI()*POWER((Q248/200),2)</f>
        <v>0</v>
      </c>
      <c r="Y248" s="15" t="n">
        <f aca="false">PI()*POWER((R248/200),2)</f>
        <v>0</v>
      </c>
      <c r="Z248" s="15" t="n">
        <f aca="false">PI()*POWER((S248/200),2)</f>
        <v>0</v>
      </c>
      <c r="AA248" s="15" t="n">
        <f aca="false">PI()*POWER((T248/200),2)</f>
        <v>0</v>
      </c>
      <c r="AB248" s="15" t="n">
        <f aca="false">PI()*POWER((U248/200),2)</f>
        <v>0</v>
      </c>
    </row>
    <row r="249" customFormat="false" ht="15" hidden="false" customHeight="false" outlineLevel="0" collapsed="false">
      <c r="A249" s="2" t="s">
        <v>20</v>
      </c>
      <c r="B249" s="2" t="n">
        <v>2</v>
      </c>
      <c r="C249" s="64" t="n">
        <v>46264</v>
      </c>
      <c r="D249" s="2" t="n">
        <v>3</v>
      </c>
      <c r="E249" s="2" t="s">
        <v>31</v>
      </c>
      <c r="F249" s="2" t="s">
        <v>34</v>
      </c>
      <c r="G249" s="2" t="s">
        <v>32</v>
      </c>
      <c r="H249" s="2" t="s">
        <v>140</v>
      </c>
      <c r="I249" s="2" t="s">
        <v>25</v>
      </c>
      <c r="J249" s="2" t="n">
        <v>35</v>
      </c>
      <c r="K249" s="32" t="s">
        <v>103</v>
      </c>
      <c r="L249" s="15" t="n">
        <f aca="false">SUM(V249:AB249)</f>
        <v>0.0278227299383546</v>
      </c>
      <c r="M249" s="63" t="n">
        <f aca="false">MAX(O249:U249)</f>
        <v>18</v>
      </c>
      <c r="N249" s="15" t="n">
        <f aca="false">COUNTIF(M249,"&gt;9.9")</f>
        <v>1</v>
      </c>
      <c r="O249" s="2" t="n">
        <v>18</v>
      </c>
      <c r="P249" s="2" t="n">
        <v>5.5</v>
      </c>
      <c r="V249" s="15" t="n">
        <f aca="false">PI()*POWER((O249/200),2)</f>
        <v>0.0254469004940773</v>
      </c>
      <c r="W249" s="15" t="n">
        <f aca="false">PI()*POWER((P249/200),2)</f>
        <v>0.00237582944427728</v>
      </c>
      <c r="X249" s="15" t="n">
        <f aca="false">PI()*POWER((Q249/200),2)</f>
        <v>0</v>
      </c>
      <c r="Y249" s="15" t="n">
        <f aca="false">PI()*POWER((R249/200),2)</f>
        <v>0</v>
      </c>
      <c r="Z249" s="15" t="n">
        <f aca="false">PI()*POWER((S249/200),2)</f>
        <v>0</v>
      </c>
      <c r="AA249" s="15" t="n">
        <f aca="false">PI()*POWER((T249/200),2)</f>
        <v>0</v>
      </c>
      <c r="AB249" s="15" t="n">
        <f aca="false">PI()*POWER((U249/200),2)</f>
        <v>0</v>
      </c>
    </row>
    <row r="250" customFormat="false" ht="15" hidden="false" customHeight="false" outlineLevel="0" collapsed="false">
      <c r="A250" s="2" t="s">
        <v>20</v>
      </c>
      <c r="B250" s="2" t="n">
        <v>2</v>
      </c>
      <c r="C250" s="64" t="n">
        <v>46264</v>
      </c>
      <c r="D250" s="2" t="n">
        <v>3</v>
      </c>
      <c r="E250" s="2" t="s">
        <v>31</v>
      </c>
      <c r="F250" s="2" t="s">
        <v>34</v>
      </c>
      <c r="G250" s="2" t="s">
        <v>32</v>
      </c>
      <c r="H250" s="2" t="s">
        <v>140</v>
      </c>
      <c r="I250" s="2" t="s">
        <v>25</v>
      </c>
      <c r="J250" s="2" t="n">
        <v>29</v>
      </c>
      <c r="K250" s="32" t="s">
        <v>103</v>
      </c>
      <c r="L250" s="15" t="n">
        <f aca="false">SUM(V250:AB250)</f>
        <v>0.0359288243827797</v>
      </c>
      <c r="M250" s="63" t="n">
        <f aca="false">MAX(O250:U250)</f>
        <v>20.5</v>
      </c>
      <c r="N250" s="15" t="n">
        <f aca="false">COUNTIF(M250,"&gt;9.9")</f>
        <v>1</v>
      </c>
      <c r="O250" s="2" t="n">
        <v>20.5</v>
      </c>
      <c r="P250" s="2" t="n">
        <v>6.1</v>
      </c>
      <c r="V250" s="15" t="n">
        <f aca="false">PI()*POWER((O250/200),2)</f>
        <v>0.0330063578167778</v>
      </c>
      <c r="W250" s="15" t="n">
        <f aca="false">PI()*POWER((P250/200),2)</f>
        <v>0.00292246656600191</v>
      </c>
      <c r="X250" s="15" t="n">
        <f aca="false">PI()*POWER((Q250/200),2)</f>
        <v>0</v>
      </c>
      <c r="Y250" s="15" t="n">
        <f aca="false">PI()*POWER((R250/200),2)</f>
        <v>0</v>
      </c>
      <c r="Z250" s="15" t="n">
        <f aca="false">PI()*POWER((S250/200),2)</f>
        <v>0</v>
      </c>
      <c r="AA250" s="15" t="n">
        <f aca="false">PI()*POWER((T250/200),2)</f>
        <v>0</v>
      </c>
      <c r="AB250" s="15" t="n">
        <f aca="false">PI()*POWER((U250/200),2)</f>
        <v>0</v>
      </c>
    </row>
    <row r="251" customFormat="false" ht="15" hidden="false" customHeight="false" outlineLevel="0" collapsed="false">
      <c r="A251" s="2" t="s">
        <v>20</v>
      </c>
      <c r="B251" s="2" t="n">
        <v>2</v>
      </c>
      <c r="C251" s="64" t="n">
        <v>46264</v>
      </c>
      <c r="D251" s="2" t="n">
        <v>3</v>
      </c>
      <c r="E251" s="2" t="s">
        <v>31</v>
      </c>
      <c r="F251" s="2" t="s">
        <v>34</v>
      </c>
      <c r="G251" s="2" t="s">
        <v>32</v>
      </c>
      <c r="H251" s="2" t="s">
        <v>140</v>
      </c>
      <c r="I251" s="2" t="s">
        <v>25</v>
      </c>
      <c r="J251" s="2" t="n">
        <v>20</v>
      </c>
      <c r="K251" s="32" t="s">
        <v>103</v>
      </c>
      <c r="L251" s="15" t="n">
        <f aca="false">SUM(V251:AB251)</f>
        <v>0.134116161178075</v>
      </c>
      <c r="M251" s="63" t="n">
        <f aca="false">MAX(O251:U251)</f>
        <v>40.9</v>
      </c>
      <c r="N251" s="15" t="n">
        <f aca="false">COUNTIF(M251,"&gt;9.9")</f>
        <v>1</v>
      </c>
      <c r="O251" s="2" t="n">
        <v>40.9</v>
      </c>
      <c r="P251" s="2" t="n">
        <v>5.9</v>
      </c>
      <c r="V251" s="15" t="n">
        <f aca="false">PI()*POWER((O251/200),2)</f>
        <v>0.131382190171289</v>
      </c>
      <c r="W251" s="15" t="n">
        <f aca="false">PI()*POWER((P251/200),2)</f>
        <v>0.00273397100678652</v>
      </c>
      <c r="X251" s="15" t="n">
        <f aca="false">PI()*POWER((Q251/200),2)</f>
        <v>0</v>
      </c>
      <c r="Y251" s="15" t="n">
        <f aca="false">PI()*POWER((R251/200),2)</f>
        <v>0</v>
      </c>
      <c r="Z251" s="15" t="n">
        <f aca="false">PI()*POWER((S251/200),2)</f>
        <v>0</v>
      </c>
      <c r="AA251" s="15" t="n">
        <f aca="false">PI()*POWER((T251/200),2)</f>
        <v>0</v>
      </c>
      <c r="AB251" s="15" t="n">
        <f aca="false">PI()*POWER((U251/200),2)</f>
        <v>0</v>
      </c>
    </row>
    <row r="252" customFormat="false" ht="15" hidden="false" customHeight="false" outlineLevel="0" collapsed="false">
      <c r="A252" s="2" t="s">
        <v>20</v>
      </c>
      <c r="B252" s="2" t="n">
        <v>2</v>
      </c>
      <c r="C252" s="64" t="n">
        <v>46264</v>
      </c>
      <c r="D252" s="2" t="n">
        <v>3</v>
      </c>
      <c r="E252" s="2" t="s">
        <v>31</v>
      </c>
      <c r="F252" s="2" t="s">
        <v>34</v>
      </c>
      <c r="G252" s="2" t="s">
        <v>32</v>
      </c>
      <c r="H252" s="2" t="s">
        <v>140</v>
      </c>
      <c r="I252" s="2" t="s">
        <v>25</v>
      </c>
      <c r="J252" s="2" t="n">
        <v>14</v>
      </c>
      <c r="K252" s="32" t="s">
        <v>103</v>
      </c>
      <c r="L252" s="15" t="n">
        <f aca="false">SUM(V252:AB252)</f>
        <v>0.0735415424278835</v>
      </c>
      <c r="M252" s="63" t="n">
        <f aca="false">MAX(O252:U252)</f>
        <v>30.6</v>
      </c>
      <c r="N252" s="15" t="n">
        <f aca="false">COUNTIF(M252,"&gt;9.9")</f>
        <v>1</v>
      </c>
      <c r="O252" s="2" t="n">
        <v>30.6</v>
      </c>
      <c r="V252" s="15" t="n">
        <f aca="false">PI()*POWER((O252/200),2)</f>
        <v>0.0735415424278835</v>
      </c>
      <c r="W252" s="15" t="n">
        <f aca="false">PI()*POWER((P252/200),2)</f>
        <v>0</v>
      </c>
      <c r="X252" s="15" t="n">
        <f aca="false">PI()*POWER((Q252/200),2)</f>
        <v>0</v>
      </c>
      <c r="Y252" s="15" t="n">
        <f aca="false">PI()*POWER((R252/200),2)</f>
        <v>0</v>
      </c>
      <c r="Z252" s="15" t="n">
        <f aca="false">PI()*POWER((S252/200),2)</f>
        <v>0</v>
      </c>
      <c r="AA252" s="15" t="n">
        <f aca="false">PI()*POWER((T252/200),2)</f>
        <v>0</v>
      </c>
      <c r="AB252" s="15" t="n">
        <f aca="false">PI()*POWER((U252/200),2)</f>
        <v>0</v>
      </c>
    </row>
    <row r="253" customFormat="false" ht="15" hidden="false" customHeight="false" outlineLevel="0" collapsed="false">
      <c r="A253" s="2" t="s">
        <v>20</v>
      </c>
      <c r="B253" s="2" t="n">
        <v>2</v>
      </c>
      <c r="C253" s="64" t="n">
        <v>46264</v>
      </c>
      <c r="D253" s="2" t="n">
        <v>3</v>
      </c>
      <c r="E253" s="2" t="s">
        <v>31</v>
      </c>
      <c r="F253" s="2" t="s">
        <v>34</v>
      </c>
      <c r="G253" s="2" t="s">
        <v>32</v>
      </c>
      <c r="H253" s="2" t="s">
        <v>140</v>
      </c>
      <c r="I253" s="2" t="s">
        <v>25</v>
      </c>
      <c r="J253" s="2" t="n">
        <v>60</v>
      </c>
      <c r="K253" s="32" t="s">
        <v>145</v>
      </c>
      <c r="L253" s="15" t="n">
        <f aca="false">SUM(V253:AB253)</f>
        <v>0.124410210674809</v>
      </c>
      <c r="M253" s="63" t="n">
        <f aca="false">MAX(O253:U253)</f>
        <v>39.8</v>
      </c>
      <c r="N253" s="15" t="n">
        <f aca="false">COUNTIF(M253,"&gt;9.9")</f>
        <v>1</v>
      </c>
      <c r="O253" s="2" t="n">
        <v>39.8</v>
      </c>
      <c r="V253" s="15" t="n">
        <f aca="false">PI()*POWER((O253/200),2)</f>
        <v>0.124410210674809</v>
      </c>
      <c r="W253" s="15" t="n">
        <f aca="false">PI()*POWER((P253/200),2)</f>
        <v>0</v>
      </c>
      <c r="X253" s="15" t="n">
        <f aca="false">PI()*POWER((Q253/200),2)</f>
        <v>0</v>
      </c>
      <c r="Y253" s="15" t="n">
        <f aca="false">PI()*POWER((R253/200),2)</f>
        <v>0</v>
      </c>
      <c r="Z253" s="15" t="n">
        <f aca="false">PI()*POWER((S253/200),2)</f>
        <v>0</v>
      </c>
      <c r="AA253" s="15" t="n">
        <f aca="false">PI()*POWER((T253/200),2)</f>
        <v>0</v>
      </c>
      <c r="AB253" s="15" t="n">
        <f aca="false">PI()*POWER((U253/200),2)</f>
        <v>0</v>
      </c>
    </row>
    <row r="254" customFormat="false" ht="15" hidden="false" customHeight="false" outlineLevel="0" collapsed="false">
      <c r="A254" s="2" t="s">
        <v>20</v>
      </c>
      <c r="B254" s="2" t="n">
        <v>2</v>
      </c>
      <c r="C254" s="64" t="n">
        <v>46264</v>
      </c>
      <c r="D254" s="2" t="n">
        <v>3</v>
      </c>
      <c r="E254" s="2" t="s">
        <v>31</v>
      </c>
      <c r="F254" s="2" t="s">
        <v>34</v>
      </c>
      <c r="G254" s="2" t="s">
        <v>32</v>
      </c>
      <c r="H254" s="2" t="s">
        <v>140</v>
      </c>
      <c r="I254" s="2" t="s">
        <v>25</v>
      </c>
      <c r="J254" s="2" t="n">
        <v>37</v>
      </c>
      <c r="K254" s="32" t="s">
        <v>145</v>
      </c>
      <c r="L254" s="15" t="n">
        <f aca="false">SUM(V254:AB254)</f>
        <v>0.292246656600191</v>
      </c>
      <c r="M254" s="63" t="n">
        <f aca="false">MAX(O254:U254)</f>
        <v>61</v>
      </c>
      <c r="N254" s="15" t="n">
        <f aca="false">COUNTIF(M254,"&gt;9.9")</f>
        <v>1</v>
      </c>
      <c r="O254" s="2" t="n">
        <v>61</v>
      </c>
      <c r="V254" s="15" t="n">
        <f aca="false">PI()*POWER((O254/200),2)</f>
        <v>0.292246656600191</v>
      </c>
      <c r="W254" s="15" t="n">
        <f aca="false">PI()*POWER((P254/200),2)</f>
        <v>0</v>
      </c>
      <c r="X254" s="15" t="n">
        <f aca="false">PI()*POWER((Q254/200),2)</f>
        <v>0</v>
      </c>
      <c r="Y254" s="15" t="n">
        <f aca="false">PI()*POWER((R254/200),2)</f>
        <v>0</v>
      </c>
      <c r="Z254" s="15" t="n">
        <f aca="false">PI()*POWER((S254/200),2)</f>
        <v>0</v>
      </c>
      <c r="AA254" s="15" t="n">
        <f aca="false">PI()*POWER((T254/200),2)</f>
        <v>0</v>
      </c>
      <c r="AB254" s="15" t="n">
        <f aca="false">PI()*POWER((U254/200),2)</f>
        <v>0</v>
      </c>
    </row>
    <row r="255" customFormat="false" ht="15" hidden="false" customHeight="false" outlineLevel="0" collapsed="false">
      <c r="A255" s="2" t="s">
        <v>20</v>
      </c>
      <c r="B255" s="2" t="n">
        <v>2</v>
      </c>
      <c r="C255" s="64" t="n">
        <v>46264</v>
      </c>
      <c r="D255" s="2" t="n">
        <v>3</v>
      </c>
      <c r="E255" s="2" t="s">
        <v>31</v>
      </c>
      <c r="F255" s="2" t="s">
        <v>34</v>
      </c>
      <c r="G255" s="2" t="s">
        <v>32</v>
      </c>
      <c r="H255" s="2" t="s">
        <v>140</v>
      </c>
      <c r="I255" s="2" t="s">
        <v>25</v>
      </c>
      <c r="J255" s="2" t="n">
        <v>54</v>
      </c>
      <c r="K255" s="32" t="s">
        <v>142</v>
      </c>
      <c r="L255" s="15" t="n">
        <f aca="false">SUM(V255:AB255)</f>
        <v>0.14119574022294</v>
      </c>
      <c r="M255" s="63" t="n">
        <f aca="false">MAX(O255:U255)</f>
        <v>42.4</v>
      </c>
      <c r="N255" s="15" t="n">
        <f aca="false">COUNTIF(M255,"&gt;9.9")</f>
        <v>1</v>
      </c>
      <c r="O255" s="2" t="n">
        <v>42.4</v>
      </c>
      <c r="V255" s="15" t="n">
        <f aca="false">PI()*POWER((O255/200),2)</f>
        <v>0.14119574022294</v>
      </c>
      <c r="W255" s="15" t="n">
        <f aca="false">PI()*POWER((P255/200),2)</f>
        <v>0</v>
      </c>
      <c r="X255" s="15" t="n">
        <f aca="false">PI()*POWER((Q255/200),2)</f>
        <v>0</v>
      </c>
      <c r="Y255" s="15" t="n">
        <f aca="false">PI()*POWER((R255/200),2)</f>
        <v>0</v>
      </c>
      <c r="Z255" s="15" t="n">
        <f aca="false">PI()*POWER((S255/200),2)</f>
        <v>0</v>
      </c>
      <c r="AA255" s="15" t="n">
        <f aca="false">PI()*POWER((T255/200),2)</f>
        <v>0</v>
      </c>
      <c r="AB255" s="15" t="n">
        <f aca="false">PI()*POWER((U255/200),2)</f>
        <v>0</v>
      </c>
    </row>
    <row r="256" customFormat="false" ht="15" hidden="false" customHeight="false" outlineLevel="0" collapsed="false">
      <c r="A256" s="2" t="s">
        <v>20</v>
      </c>
      <c r="B256" s="2" t="n">
        <v>2</v>
      </c>
      <c r="C256" s="64" t="n">
        <v>46264</v>
      </c>
      <c r="D256" s="2" t="n">
        <v>3</v>
      </c>
      <c r="E256" s="2" t="s">
        <v>31</v>
      </c>
      <c r="F256" s="2" t="s">
        <v>34</v>
      </c>
      <c r="G256" s="2" t="s">
        <v>32</v>
      </c>
      <c r="H256" s="2" t="s">
        <v>140</v>
      </c>
      <c r="I256" s="2" t="s">
        <v>25</v>
      </c>
      <c r="J256" s="2" t="n">
        <v>24</v>
      </c>
      <c r="K256" s="32" t="s">
        <v>142</v>
      </c>
      <c r="L256" s="15" t="n">
        <f aca="false">SUM(V256:AB256)</f>
        <v>0.158337055139089</v>
      </c>
      <c r="M256" s="63" t="n">
        <f aca="false">MAX(O256:U256)</f>
        <v>44.9</v>
      </c>
      <c r="N256" s="15" t="n">
        <f aca="false">COUNTIF(M256,"&gt;9.9")</f>
        <v>1</v>
      </c>
      <c r="O256" s="2" t="n">
        <v>44.9</v>
      </c>
      <c r="V256" s="15" t="n">
        <f aca="false">PI()*POWER((O256/200),2)</f>
        <v>0.158337055139089</v>
      </c>
      <c r="W256" s="15" t="n">
        <f aca="false">PI()*POWER((P256/200),2)</f>
        <v>0</v>
      </c>
      <c r="X256" s="15" t="n">
        <f aca="false">PI()*POWER((Q256/200),2)</f>
        <v>0</v>
      </c>
      <c r="Y256" s="15" t="n">
        <f aca="false">PI()*POWER((R256/200),2)</f>
        <v>0</v>
      </c>
      <c r="Z256" s="15" t="n">
        <f aca="false">PI()*POWER((S256/200),2)</f>
        <v>0</v>
      </c>
      <c r="AA256" s="15" t="n">
        <f aca="false">PI()*POWER((T256/200),2)</f>
        <v>0</v>
      </c>
      <c r="AB256" s="15" t="n">
        <f aca="false">PI()*POWER((U256/200),2)</f>
        <v>0</v>
      </c>
    </row>
    <row r="257" customFormat="false" ht="15" hidden="false" customHeight="false" outlineLevel="0" collapsed="false">
      <c r="A257" s="2" t="s">
        <v>20</v>
      </c>
      <c r="B257" s="2" t="n">
        <v>2</v>
      </c>
      <c r="C257" s="64" t="n">
        <v>46264</v>
      </c>
      <c r="D257" s="2" t="n">
        <v>3</v>
      </c>
      <c r="E257" s="2" t="s">
        <v>31</v>
      </c>
      <c r="F257" s="2" t="s">
        <v>34</v>
      </c>
      <c r="G257" s="2" t="s">
        <v>32</v>
      </c>
      <c r="H257" s="2" t="s">
        <v>140</v>
      </c>
      <c r="I257" s="2" t="s">
        <v>25</v>
      </c>
      <c r="J257" s="2" t="n">
        <v>49</v>
      </c>
      <c r="K257" s="32" t="s">
        <v>142</v>
      </c>
      <c r="L257" s="15" t="n">
        <f aca="false">SUM(V257:AB257)</f>
        <v>0.502654824574367</v>
      </c>
      <c r="M257" s="63" t="n">
        <f aca="false">MAX(O257:U257)</f>
        <v>80</v>
      </c>
      <c r="N257" s="15" t="n">
        <f aca="false">COUNTIF(M257,"&gt;9.9")</f>
        <v>1</v>
      </c>
      <c r="O257" s="2" t="n">
        <v>80</v>
      </c>
      <c r="V257" s="15" t="n">
        <f aca="false">PI()*POWER((O257/200),2)</f>
        <v>0.502654824574367</v>
      </c>
      <c r="W257" s="15" t="n">
        <f aca="false">PI()*POWER((P257/200),2)</f>
        <v>0</v>
      </c>
      <c r="X257" s="15" t="n">
        <f aca="false">PI()*POWER((Q257/200),2)</f>
        <v>0</v>
      </c>
      <c r="Y257" s="15" t="n">
        <f aca="false">PI()*POWER((R257/200),2)</f>
        <v>0</v>
      </c>
      <c r="Z257" s="15" t="n">
        <f aca="false">PI()*POWER((S257/200),2)</f>
        <v>0</v>
      </c>
      <c r="AA257" s="15" t="n">
        <f aca="false">PI()*POWER((T257/200),2)</f>
        <v>0</v>
      </c>
      <c r="AB257" s="15" t="n">
        <f aca="false">PI()*POWER((U257/200),2)</f>
        <v>0</v>
      </c>
    </row>
    <row r="258" customFormat="false" ht="15" hidden="false" customHeight="false" outlineLevel="0" collapsed="false">
      <c r="A258" s="2" t="s">
        <v>20</v>
      </c>
      <c r="B258" s="2" t="n">
        <v>2</v>
      </c>
      <c r="C258" s="64" t="n">
        <v>46264</v>
      </c>
      <c r="D258" s="2" t="n">
        <v>3</v>
      </c>
      <c r="E258" s="2" t="s">
        <v>31</v>
      </c>
      <c r="F258" s="2" t="s">
        <v>34</v>
      </c>
      <c r="G258" s="2" t="s">
        <v>32</v>
      </c>
      <c r="H258" s="2" t="s">
        <v>140</v>
      </c>
      <c r="I258" s="2" t="s">
        <v>25</v>
      </c>
      <c r="J258" s="2" t="n">
        <v>1</v>
      </c>
      <c r="K258" s="32" t="s">
        <v>97</v>
      </c>
      <c r="L258" s="15" t="n">
        <f aca="false">SUM(V258:AB258)</f>
        <v>0.000283528736986479</v>
      </c>
      <c r="M258" s="63" t="n">
        <f aca="false">MAX(O258:U258)</f>
        <v>1.9</v>
      </c>
      <c r="N258" s="15" t="n">
        <f aca="false">COUNTIF(M258,"&gt;9.9")</f>
        <v>0</v>
      </c>
      <c r="O258" s="2" t="n">
        <v>1.9</v>
      </c>
      <c r="V258" s="15" t="n">
        <f aca="false">PI()*POWER((O258/200),2)</f>
        <v>0.000283528736986479</v>
      </c>
      <c r="W258" s="15" t="n">
        <f aca="false">PI()*POWER((P258/200),2)</f>
        <v>0</v>
      </c>
      <c r="X258" s="15" t="n">
        <f aca="false">PI()*POWER((Q258/200),2)</f>
        <v>0</v>
      </c>
      <c r="Y258" s="15" t="n">
        <f aca="false">PI()*POWER((R258/200),2)</f>
        <v>0</v>
      </c>
      <c r="Z258" s="15" t="n">
        <f aca="false">PI()*POWER((S258/200),2)</f>
        <v>0</v>
      </c>
      <c r="AA258" s="15" t="n">
        <f aca="false">PI()*POWER((T258/200),2)</f>
        <v>0</v>
      </c>
      <c r="AB258" s="15" t="n">
        <f aca="false">PI()*POWER((U258/200),2)</f>
        <v>0</v>
      </c>
    </row>
    <row r="259" customFormat="false" ht="15" hidden="false" customHeight="false" outlineLevel="0" collapsed="false">
      <c r="A259" s="2" t="s">
        <v>20</v>
      </c>
      <c r="B259" s="2" t="n">
        <v>2</v>
      </c>
      <c r="C259" s="64" t="n">
        <v>46264</v>
      </c>
      <c r="D259" s="2" t="n">
        <v>3</v>
      </c>
      <c r="E259" s="2" t="s">
        <v>31</v>
      </c>
      <c r="F259" s="2" t="s">
        <v>34</v>
      </c>
      <c r="G259" s="2" t="s">
        <v>32</v>
      </c>
      <c r="H259" s="2" t="s">
        <v>140</v>
      </c>
      <c r="I259" s="2" t="s">
        <v>25</v>
      </c>
      <c r="J259" s="2" t="n">
        <v>7</v>
      </c>
      <c r="K259" s="32" t="s">
        <v>97</v>
      </c>
      <c r="L259" s="15" t="n">
        <f aca="false">SUM(V259:AB259)</f>
        <v>0.00087728974851495</v>
      </c>
      <c r="M259" s="63" t="n">
        <f aca="false">MAX(O259:U259)</f>
        <v>2.6</v>
      </c>
      <c r="N259" s="15" t="n">
        <f aca="false">COUNTIF(M259,"&gt;9.9")</f>
        <v>0</v>
      </c>
      <c r="O259" s="2" t="n">
        <v>2.6</v>
      </c>
      <c r="P259" s="2" t="n">
        <v>2.1</v>
      </c>
      <c r="V259" s="15" t="n">
        <f aca="false">PI()*POWER((O259/200),2)</f>
        <v>0.000530929158456675</v>
      </c>
      <c r="W259" s="15" t="n">
        <f aca="false">PI()*POWER((P259/200),2)</f>
        <v>0.000346360590058275</v>
      </c>
      <c r="X259" s="15" t="n">
        <f aca="false">PI()*POWER((Q259/200),2)</f>
        <v>0</v>
      </c>
      <c r="Y259" s="15" t="n">
        <f aca="false">PI()*POWER((R259/200),2)</f>
        <v>0</v>
      </c>
      <c r="Z259" s="15" t="n">
        <f aca="false">PI()*POWER((S259/200),2)</f>
        <v>0</v>
      </c>
      <c r="AA259" s="15" t="n">
        <f aca="false">PI()*POWER((T259/200),2)</f>
        <v>0</v>
      </c>
      <c r="AB259" s="15" t="n">
        <f aca="false">PI()*POWER((U259/200),2)</f>
        <v>0</v>
      </c>
    </row>
    <row r="260" customFormat="false" ht="15" hidden="false" customHeight="false" outlineLevel="0" collapsed="false">
      <c r="A260" s="2" t="s">
        <v>20</v>
      </c>
      <c r="B260" s="2" t="n">
        <v>2</v>
      </c>
      <c r="C260" s="64" t="n">
        <v>46264</v>
      </c>
      <c r="D260" s="2" t="n">
        <v>3</v>
      </c>
      <c r="E260" s="2" t="s">
        <v>31</v>
      </c>
      <c r="F260" s="2" t="s">
        <v>34</v>
      </c>
      <c r="G260" s="2" t="s">
        <v>32</v>
      </c>
      <c r="H260" s="2" t="s">
        <v>140</v>
      </c>
      <c r="I260" s="2" t="s">
        <v>25</v>
      </c>
      <c r="J260" s="2" t="n">
        <v>8</v>
      </c>
      <c r="K260" s="32" t="s">
        <v>97</v>
      </c>
      <c r="L260" s="15" t="n">
        <f aca="false">SUM(V260:AB260)</f>
        <v>0.00180955736846772</v>
      </c>
      <c r="M260" s="63" t="n">
        <f aca="false">MAX(O260:U260)</f>
        <v>4.8</v>
      </c>
      <c r="N260" s="15" t="n">
        <f aca="false">COUNTIF(M260,"&gt;9.9")</f>
        <v>0</v>
      </c>
      <c r="O260" s="2" t="n">
        <v>4.8</v>
      </c>
      <c r="V260" s="15" t="n">
        <f aca="false">PI()*POWER((O260/200),2)</f>
        <v>0.00180955736846772</v>
      </c>
      <c r="W260" s="15" t="n">
        <f aca="false">PI()*POWER((P260/200),2)</f>
        <v>0</v>
      </c>
      <c r="X260" s="15" t="n">
        <f aca="false">PI()*POWER((Q260/200),2)</f>
        <v>0</v>
      </c>
      <c r="Y260" s="15" t="n">
        <f aca="false">PI()*POWER((R260/200),2)</f>
        <v>0</v>
      </c>
      <c r="Z260" s="15" t="n">
        <f aca="false">PI()*POWER((S260/200),2)</f>
        <v>0</v>
      </c>
      <c r="AA260" s="15" t="n">
        <f aca="false">PI()*POWER((T260/200),2)</f>
        <v>0</v>
      </c>
      <c r="AB260" s="15" t="n">
        <f aca="false">PI()*POWER((U260/200),2)</f>
        <v>0</v>
      </c>
    </row>
    <row r="261" customFormat="false" ht="15" hidden="false" customHeight="false" outlineLevel="0" collapsed="false">
      <c r="A261" s="2" t="s">
        <v>20</v>
      </c>
      <c r="B261" s="2" t="n">
        <v>2</v>
      </c>
      <c r="C261" s="64" t="n">
        <v>46264</v>
      </c>
      <c r="D261" s="2" t="n">
        <v>3</v>
      </c>
      <c r="E261" s="2" t="s">
        <v>31</v>
      </c>
      <c r="F261" s="2" t="s">
        <v>34</v>
      </c>
      <c r="G261" s="2" t="s">
        <v>32</v>
      </c>
      <c r="H261" s="2" t="s">
        <v>140</v>
      </c>
      <c r="I261" s="2" t="s">
        <v>25</v>
      </c>
      <c r="J261" s="2" t="n">
        <v>18</v>
      </c>
      <c r="K261" s="32" t="s">
        <v>97</v>
      </c>
      <c r="L261" s="15" t="n">
        <f aca="false">SUM(V261:AB261)</f>
        <v>0.0038484510006475</v>
      </c>
      <c r="M261" s="63" t="n">
        <f aca="false">MAX(O261:U261)</f>
        <v>7</v>
      </c>
      <c r="N261" s="15" t="n">
        <f aca="false">COUNTIF(M261,"&gt;9.9")</f>
        <v>0</v>
      </c>
      <c r="O261" s="2" t="n">
        <v>7</v>
      </c>
      <c r="V261" s="15" t="n">
        <f aca="false">PI()*POWER((O261/200),2)</f>
        <v>0.0038484510006475</v>
      </c>
      <c r="W261" s="15" t="n">
        <f aca="false">PI()*POWER((P261/200),2)</f>
        <v>0</v>
      </c>
      <c r="X261" s="15" t="n">
        <f aca="false">PI()*POWER((Q261/200),2)</f>
        <v>0</v>
      </c>
      <c r="Y261" s="15" t="n">
        <f aca="false">PI()*POWER((R261/200),2)</f>
        <v>0</v>
      </c>
      <c r="Z261" s="15" t="n">
        <f aca="false">PI()*POWER((S261/200),2)</f>
        <v>0</v>
      </c>
      <c r="AA261" s="15" t="n">
        <f aca="false">PI()*POWER((T261/200),2)</f>
        <v>0</v>
      </c>
      <c r="AB261" s="15" t="n">
        <f aca="false">PI()*POWER((U261/200),2)</f>
        <v>0</v>
      </c>
    </row>
    <row r="262" customFormat="false" ht="15" hidden="false" customHeight="false" outlineLevel="0" collapsed="false">
      <c r="A262" s="2" t="s">
        <v>20</v>
      </c>
      <c r="B262" s="2" t="n">
        <v>2</v>
      </c>
      <c r="C262" s="64" t="n">
        <v>46264</v>
      </c>
      <c r="D262" s="2" t="n">
        <v>3</v>
      </c>
      <c r="E262" s="2" t="s">
        <v>31</v>
      </c>
      <c r="F262" s="2" t="s">
        <v>34</v>
      </c>
      <c r="G262" s="2" t="s">
        <v>32</v>
      </c>
      <c r="H262" s="2" t="s">
        <v>140</v>
      </c>
      <c r="I262" s="2" t="s">
        <v>25</v>
      </c>
      <c r="J262" s="2" t="n">
        <v>27</v>
      </c>
      <c r="K262" s="32" t="s">
        <v>97</v>
      </c>
      <c r="L262" s="15" t="n">
        <f aca="false">SUM(V262:AB262)</f>
        <v>0.00528101725068444</v>
      </c>
      <c r="M262" s="63" t="n">
        <f aca="false">MAX(O262:U262)</f>
        <v>8.2</v>
      </c>
      <c r="N262" s="15" t="n">
        <f aca="false">COUNTIF(M262,"&gt;9.9")</f>
        <v>0</v>
      </c>
      <c r="O262" s="2" t="n">
        <v>8.2</v>
      </c>
      <c r="V262" s="15" t="n">
        <f aca="false">PI()*POWER((O262/200),2)</f>
        <v>0.00528101725068444</v>
      </c>
      <c r="W262" s="15" t="n">
        <f aca="false">PI()*POWER((P262/200),2)</f>
        <v>0</v>
      </c>
      <c r="X262" s="15" t="n">
        <f aca="false">PI()*POWER((Q262/200),2)</f>
        <v>0</v>
      </c>
      <c r="Y262" s="15" t="n">
        <f aca="false">PI()*POWER((R262/200),2)</f>
        <v>0</v>
      </c>
      <c r="Z262" s="15" t="n">
        <f aca="false">PI()*POWER((S262/200),2)</f>
        <v>0</v>
      </c>
      <c r="AA262" s="15" t="n">
        <f aca="false">PI()*POWER((T262/200),2)</f>
        <v>0</v>
      </c>
      <c r="AB262" s="15" t="n">
        <f aca="false">PI()*POWER((U262/200),2)</f>
        <v>0</v>
      </c>
    </row>
    <row r="263" customFormat="false" ht="15" hidden="false" customHeight="false" outlineLevel="0" collapsed="false">
      <c r="A263" s="2" t="s">
        <v>20</v>
      </c>
      <c r="B263" s="2" t="n">
        <v>2</v>
      </c>
      <c r="C263" s="64" t="n">
        <v>46264</v>
      </c>
      <c r="D263" s="2" t="n">
        <v>3</v>
      </c>
      <c r="E263" s="2" t="s">
        <v>31</v>
      </c>
      <c r="F263" s="2" t="s">
        <v>34</v>
      </c>
      <c r="G263" s="2" t="s">
        <v>32</v>
      </c>
      <c r="H263" s="2" t="s">
        <v>140</v>
      </c>
      <c r="I263" s="2" t="s">
        <v>25</v>
      </c>
      <c r="J263" s="2" t="n">
        <v>17</v>
      </c>
      <c r="K263" s="32" t="s">
        <v>97</v>
      </c>
      <c r="L263" s="15" t="n">
        <f aca="false">SUM(V263:AB263)</f>
        <v>0.00622113885227119</v>
      </c>
      <c r="M263" s="63" t="n">
        <f aca="false">MAX(O263:U263)</f>
        <v>8.9</v>
      </c>
      <c r="N263" s="15" t="n">
        <f aca="false">COUNTIF(M263,"&gt;9.9")</f>
        <v>0</v>
      </c>
      <c r="O263" s="2" t="n">
        <v>8.9</v>
      </c>
      <c r="V263" s="15" t="n">
        <f aca="false">PI()*POWER((O263/200),2)</f>
        <v>0.00622113885227119</v>
      </c>
      <c r="W263" s="15" t="n">
        <f aca="false">PI()*POWER((P263/200),2)</f>
        <v>0</v>
      </c>
      <c r="X263" s="15" t="n">
        <f aca="false">PI()*POWER((Q263/200),2)</f>
        <v>0</v>
      </c>
      <c r="Y263" s="15" t="n">
        <f aca="false">PI()*POWER((R263/200),2)</f>
        <v>0</v>
      </c>
      <c r="Z263" s="15" t="n">
        <f aca="false">PI()*POWER((S263/200),2)</f>
        <v>0</v>
      </c>
      <c r="AA263" s="15" t="n">
        <f aca="false">PI()*POWER((T263/200),2)</f>
        <v>0</v>
      </c>
      <c r="AB263" s="15" t="n">
        <f aca="false">PI()*POWER((U263/200),2)</f>
        <v>0</v>
      </c>
    </row>
    <row r="264" customFormat="false" ht="15" hidden="false" customHeight="false" outlineLevel="0" collapsed="false">
      <c r="A264" s="2" t="s">
        <v>20</v>
      </c>
      <c r="B264" s="2" t="n">
        <v>2</v>
      </c>
      <c r="C264" s="64" t="n">
        <v>46264</v>
      </c>
      <c r="D264" s="2" t="n">
        <v>3</v>
      </c>
      <c r="E264" s="2" t="s">
        <v>31</v>
      </c>
      <c r="F264" s="2" t="s">
        <v>34</v>
      </c>
      <c r="G264" s="2" t="s">
        <v>32</v>
      </c>
      <c r="H264" s="2" t="s">
        <v>140</v>
      </c>
      <c r="I264" s="2" t="s">
        <v>25</v>
      </c>
      <c r="J264" s="2" t="n">
        <v>28</v>
      </c>
      <c r="K264" s="32" t="s">
        <v>97</v>
      </c>
      <c r="L264" s="15" t="n">
        <f aca="false">SUM(V264:AB264)</f>
        <v>0.180202540008074</v>
      </c>
      <c r="M264" s="63" t="n">
        <f aca="false">MAX(O264:U264)</f>
        <v>47.9</v>
      </c>
      <c r="N264" s="15" t="n">
        <f aca="false">COUNTIF(M264,"&gt;9.9")</f>
        <v>1</v>
      </c>
      <c r="O264" s="2" t="n">
        <v>47.9</v>
      </c>
      <c r="V264" s="15" t="n">
        <f aca="false">PI()*POWER((O264/200),2)</f>
        <v>0.180202540008074</v>
      </c>
      <c r="W264" s="15" t="n">
        <f aca="false">PI()*POWER((P264/200),2)</f>
        <v>0</v>
      </c>
      <c r="X264" s="15" t="n">
        <f aca="false">PI()*POWER((Q264/200),2)</f>
        <v>0</v>
      </c>
      <c r="Y264" s="15" t="n">
        <f aca="false">PI()*POWER((R264/200),2)</f>
        <v>0</v>
      </c>
      <c r="Z264" s="15" t="n">
        <f aca="false">PI()*POWER((S264/200),2)</f>
        <v>0</v>
      </c>
      <c r="AA264" s="15" t="n">
        <f aca="false">PI()*POWER((T264/200),2)</f>
        <v>0</v>
      </c>
      <c r="AB264" s="15" t="n">
        <f aca="false">PI()*POWER((U264/200),2)</f>
        <v>0</v>
      </c>
    </row>
    <row r="265" customFormat="false" ht="15" hidden="false" customHeight="false" outlineLevel="0" collapsed="false">
      <c r="A265" s="2" t="s">
        <v>20</v>
      </c>
      <c r="B265" s="2" t="n">
        <v>2</v>
      </c>
      <c r="C265" s="64" t="n">
        <v>46264</v>
      </c>
      <c r="D265" s="2" t="n">
        <v>3</v>
      </c>
      <c r="E265" s="2" t="s">
        <v>31</v>
      </c>
      <c r="F265" s="2" t="s">
        <v>34</v>
      </c>
      <c r="G265" s="2" t="s">
        <v>32</v>
      </c>
      <c r="H265" s="2" t="s">
        <v>140</v>
      </c>
      <c r="I265" s="2" t="s">
        <v>25</v>
      </c>
      <c r="J265" s="2" t="n">
        <v>33</v>
      </c>
      <c r="K265" s="32" t="s">
        <v>97</v>
      </c>
      <c r="L265" s="15" t="n">
        <f aca="false">SUM(V265:AB265)</f>
        <v>0.204282062299676</v>
      </c>
      <c r="M265" s="63" t="n">
        <f aca="false">MAX(O265:U265)</f>
        <v>51</v>
      </c>
      <c r="N265" s="15" t="n">
        <f aca="false">COUNTIF(M265,"&gt;9.9")</f>
        <v>1</v>
      </c>
      <c r="O265" s="2" t="n">
        <v>51</v>
      </c>
      <c r="V265" s="15" t="n">
        <f aca="false">PI()*POWER((O265/200),2)</f>
        <v>0.204282062299676</v>
      </c>
      <c r="W265" s="15" t="n">
        <f aca="false">PI()*POWER((P265/200),2)</f>
        <v>0</v>
      </c>
      <c r="X265" s="15" t="n">
        <f aca="false">PI()*POWER((Q265/200),2)</f>
        <v>0</v>
      </c>
      <c r="Y265" s="15" t="n">
        <f aca="false">PI()*POWER((R265/200),2)</f>
        <v>0</v>
      </c>
      <c r="Z265" s="15" t="n">
        <f aca="false">PI()*POWER((S265/200),2)</f>
        <v>0</v>
      </c>
      <c r="AA265" s="15" t="n">
        <f aca="false">PI()*POWER((T265/200),2)</f>
        <v>0</v>
      </c>
      <c r="AB265" s="15" t="n">
        <f aca="false">PI()*POWER((U265/200),2)</f>
        <v>0</v>
      </c>
    </row>
    <row r="266" customFormat="false" ht="15" hidden="false" customHeight="false" outlineLevel="0" collapsed="false">
      <c r="A266" s="2" t="s">
        <v>20</v>
      </c>
      <c r="B266" s="2" t="n">
        <v>2</v>
      </c>
      <c r="C266" s="9" t="n">
        <v>46264</v>
      </c>
      <c r="D266" s="2" t="n">
        <v>4</v>
      </c>
      <c r="E266" s="2" t="s">
        <v>35</v>
      </c>
      <c r="F266" s="2" t="s">
        <v>36</v>
      </c>
      <c r="G266" s="2" t="s">
        <v>37</v>
      </c>
      <c r="H266" s="2" t="s">
        <v>38</v>
      </c>
      <c r="I266" s="2" t="s">
        <v>39</v>
      </c>
      <c r="J266" s="2" t="n">
        <v>46</v>
      </c>
      <c r="K266" s="32" t="s">
        <v>102</v>
      </c>
      <c r="L266" s="15" t="n">
        <f aca="false">SUM(V266:AB266)</f>
        <v>7.85398163397448E-005</v>
      </c>
      <c r="M266" s="15" t="n">
        <f aca="false">MAX(O266:U266)</f>
        <v>1</v>
      </c>
      <c r="N266" s="15" t="n">
        <f aca="false">COUNTIF(M266,"&gt;9.9")</f>
        <v>0</v>
      </c>
      <c r="O266" s="2" t="n">
        <v>1</v>
      </c>
      <c r="V266" s="15" t="n">
        <f aca="false">PI()*POWER((O266/200),2)</f>
        <v>7.85398163397448E-005</v>
      </c>
      <c r="W266" s="15" t="n">
        <f aca="false">PI()*POWER((P266/200),2)</f>
        <v>0</v>
      </c>
      <c r="X266" s="15" t="n">
        <f aca="false">PI()*POWER((Q266/200),2)</f>
        <v>0</v>
      </c>
      <c r="Y266" s="15" t="n">
        <f aca="false">PI()*POWER((R266/200),2)</f>
        <v>0</v>
      </c>
      <c r="Z266" s="15" t="n">
        <f aca="false">PI()*POWER((S266/200),2)</f>
        <v>0</v>
      </c>
      <c r="AA266" s="15" t="n">
        <f aca="false">PI()*POWER((T266/200),2)</f>
        <v>0</v>
      </c>
      <c r="AB266" s="15" t="n">
        <f aca="false">PI()*POWER((U266/200),2)</f>
        <v>0</v>
      </c>
    </row>
    <row r="267" customFormat="false" ht="15" hidden="false" customHeight="false" outlineLevel="0" collapsed="false">
      <c r="A267" s="2" t="s">
        <v>20</v>
      </c>
      <c r="B267" s="2" t="n">
        <v>2</v>
      </c>
      <c r="C267" s="9" t="n">
        <v>46264</v>
      </c>
      <c r="D267" s="2" t="n">
        <v>4</v>
      </c>
      <c r="E267" s="2" t="s">
        <v>35</v>
      </c>
      <c r="F267" s="2" t="s">
        <v>36</v>
      </c>
      <c r="G267" s="2" t="s">
        <v>37</v>
      </c>
      <c r="H267" s="2" t="s">
        <v>38</v>
      </c>
      <c r="I267" s="2" t="s">
        <v>39</v>
      </c>
      <c r="J267" s="2" t="n">
        <v>52</v>
      </c>
      <c r="K267" s="32" t="s">
        <v>102</v>
      </c>
      <c r="L267" s="15" t="n">
        <f aca="false">SUM(V267:AB267)</f>
        <v>0.000314159265358979</v>
      </c>
      <c r="M267" s="15" t="n">
        <f aca="false">MAX(O267:U267)</f>
        <v>2</v>
      </c>
      <c r="N267" s="15" t="n">
        <f aca="false">COUNTIF(M267,"&gt;9.9")</f>
        <v>0</v>
      </c>
      <c r="O267" s="2" t="n">
        <v>2</v>
      </c>
      <c r="V267" s="15" t="n">
        <f aca="false">PI()*POWER((O267/200),2)</f>
        <v>0.000314159265358979</v>
      </c>
      <c r="W267" s="15" t="n">
        <f aca="false">PI()*POWER((P267/200),2)</f>
        <v>0</v>
      </c>
      <c r="X267" s="15" t="n">
        <f aca="false">PI()*POWER((Q267/200),2)</f>
        <v>0</v>
      </c>
      <c r="Y267" s="15" t="n">
        <f aca="false">PI()*POWER((R267/200),2)</f>
        <v>0</v>
      </c>
      <c r="Z267" s="15" t="n">
        <f aca="false">PI()*POWER((S267/200),2)</f>
        <v>0</v>
      </c>
      <c r="AA267" s="15" t="n">
        <f aca="false">PI()*POWER((T267/200),2)</f>
        <v>0</v>
      </c>
      <c r="AB267" s="15" t="n">
        <f aca="false">PI()*POWER((U267/200),2)</f>
        <v>0</v>
      </c>
    </row>
    <row r="268" customFormat="false" ht="15" hidden="false" customHeight="false" outlineLevel="0" collapsed="false">
      <c r="A268" s="2" t="s">
        <v>20</v>
      </c>
      <c r="B268" s="2" t="n">
        <v>2</v>
      </c>
      <c r="C268" s="9" t="n">
        <v>46264</v>
      </c>
      <c r="D268" s="2" t="n">
        <v>4</v>
      </c>
      <c r="E268" s="2" t="s">
        <v>35</v>
      </c>
      <c r="F268" s="2" t="s">
        <v>36</v>
      </c>
      <c r="G268" s="2" t="s">
        <v>37</v>
      </c>
      <c r="H268" s="2" t="s">
        <v>38</v>
      </c>
      <c r="I268" s="2" t="s">
        <v>39</v>
      </c>
      <c r="J268" s="2" t="n">
        <v>55</v>
      </c>
      <c r="K268" s="32" t="s">
        <v>102</v>
      </c>
      <c r="L268" s="15" t="n">
        <f aca="false">SUM(V268:AB268)</f>
        <v>0.000314159265358979</v>
      </c>
      <c r="M268" s="15" t="n">
        <f aca="false">MAX(O268:U268)</f>
        <v>2</v>
      </c>
      <c r="N268" s="15" t="n">
        <f aca="false">COUNTIF(M268,"&gt;9.9")</f>
        <v>0</v>
      </c>
      <c r="O268" s="2" t="n">
        <v>2</v>
      </c>
      <c r="V268" s="15" t="n">
        <f aca="false">PI()*POWER((O268/200),2)</f>
        <v>0.000314159265358979</v>
      </c>
      <c r="W268" s="15" t="n">
        <f aca="false">PI()*POWER((P268/200),2)</f>
        <v>0</v>
      </c>
      <c r="X268" s="15" t="n">
        <f aca="false">PI()*POWER((Q268/200),2)</f>
        <v>0</v>
      </c>
      <c r="Y268" s="15" t="n">
        <f aca="false">PI()*POWER((R268/200),2)</f>
        <v>0</v>
      </c>
      <c r="Z268" s="15" t="n">
        <f aca="false">PI()*POWER((S268/200),2)</f>
        <v>0</v>
      </c>
      <c r="AA268" s="15" t="n">
        <f aca="false">PI()*POWER((T268/200),2)</f>
        <v>0</v>
      </c>
      <c r="AB268" s="15" t="n">
        <f aca="false">PI()*POWER((U268/200),2)</f>
        <v>0</v>
      </c>
    </row>
    <row r="269" customFormat="false" ht="15" hidden="false" customHeight="false" outlineLevel="0" collapsed="false">
      <c r="A269" s="2" t="s">
        <v>20</v>
      </c>
      <c r="B269" s="2" t="n">
        <v>2</v>
      </c>
      <c r="C269" s="9" t="n">
        <v>46264</v>
      </c>
      <c r="D269" s="2" t="n">
        <v>4</v>
      </c>
      <c r="E269" s="2" t="s">
        <v>35</v>
      </c>
      <c r="F269" s="2" t="s">
        <v>36</v>
      </c>
      <c r="G269" s="2" t="s">
        <v>37</v>
      </c>
      <c r="H269" s="2" t="s">
        <v>38</v>
      </c>
      <c r="I269" s="2" t="s">
        <v>39</v>
      </c>
      <c r="J269" s="2" t="n">
        <v>54</v>
      </c>
      <c r="K269" s="32" t="s">
        <v>102</v>
      </c>
      <c r="L269" s="15" t="n">
        <f aca="false">SUM(V269:AB269)</f>
        <v>0.000346360590058275</v>
      </c>
      <c r="M269" s="15" t="n">
        <f aca="false">MAX(O269:U269)</f>
        <v>2.1</v>
      </c>
      <c r="N269" s="15" t="n">
        <f aca="false">COUNTIF(M269,"&gt;9.9")</f>
        <v>0</v>
      </c>
      <c r="O269" s="2" t="n">
        <v>2.1</v>
      </c>
      <c r="V269" s="15" t="n">
        <f aca="false">PI()*POWER((O269/200),2)</f>
        <v>0.000346360590058275</v>
      </c>
      <c r="W269" s="15" t="n">
        <f aca="false">PI()*POWER((P269/200),2)</f>
        <v>0</v>
      </c>
      <c r="X269" s="15" t="n">
        <f aca="false">PI()*POWER((Q269/200),2)</f>
        <v>0</v>
      </c>
      <c r="Y269" s="15" t="n">
        <f aca="false">PI()*POWER((R269/200),2)</f>
        <v>0</v>
      </c>
      <c r="Z269" s="15" t="n">
        <f aca="false">PI()*POWER((S269/200),2)</f>
        <v>0</v>
      </c>
      <c r="AA269" s="15" t="n">
        <f aca="false">PI()*POWER((T269/200),2)</f>
        <v>0</v>
      </c>
      <c r="AB269" s="15" t="n">
        <f aca="false">PI()*POWER((U269/200),2)</f>
        <v>0</v>
      </c>
    </row>
    <row r="270" customFormat="false" ht="15" hidden="false" customHeight="false" outlineLevel="0" collapsed="false">
      <c r="A270" s="2" t="s">
        <v>20</v>
      </c>
      <c r="B270" s="2" t="n">
        <v>2</v>
      </c>
      <c r="C270" s="9" t="n">
        <v>46264</v>
      </c>
      <c r="D270" s="2" t="n">
        <v>4</v>
      </c>
      <c r="E270" s="2" t="s">
        <v>35</v>
      </c>
      <c r="F270" s="2" t="s">
        <v>36</v>
      </c>
      <c r="G270" s="2" t="s">
        <v>37</v>
      </c>
      <c r="H270" s="2" t="s">
        <v>38</v>
      </c>
      <c r="I270" s="2" t="s">
        <v>39</v>
      </c>
      <c r="J270" s="2" t="n">
        <v>51</v>
      </c>
      <c r="K270" s="32" t="s">
        <v>102</v>
      </c>
      <c r="L270" s="15" t="n">
        <f aca="false">SUM(V270:AB270)</f>
        <v>0.000380132711084365</v>
      </c>
      <c r="M270" s="15" t="n">
        <f aca="false">MAX(O270:U270)</f>
        <v>2.2</v>
      </c>
      <c r="N270" s="15" t="n">
        <f aca="false">COUNTIF(M270,"&gt;9.9")</f>
        <v>0</v>
      </c>
      <c r="O270" s="2" t="n">
        <v>2.2</v>
      </c>
      <c r="V270" s="15" t="n">
        <f aca="false">PI()*POWER((O270/200),2)</f>
        <v>0.000380132711084365</v>
      </c>
      <c r="W270" s="15" t="n">
        <f aca="false">PI()*POWER((P270/200),2)</f>
        <v>0</v>
      </c>
      <c r="X270" s="15" t="n">
        <f aca="false">PI()*POWER((Q270/200),2)</f>
        <v>0</v>
      </c>
      <c r="Y270" s="15" t="n">
        <f aca="false">PI()*POWER((R270/200),2)</f>
        <v>0</v>
      </c>
      <c r="Z270" s="15" t="n">
        <f aca="false">PI()*POWER((S270/200),2)</f>
        <v>0</v>
      </c>
      <c r="AA270" s="15" t="n">
        <f aca="false">PI()*POWER((T270/200),2)</f>
        <v>0</v>
      </c>
      <c r="AB270" s="15" t="n">
        <f aca="false">PI()*POWER((U270/200),2)</f>
        <v>0</v>
      </c>
    </row>
    <row r="271" customFormat="false" ht="15" hidden="false" customHeight="false" outlineLevel="0" collapsed="false">
      <c r="A271" s="2" t="s">
        <v>20</v>
      </c>
      <c r="B271" s="2" t="n">
        <v>2</v>
      </c>
      <c r="C271" s="9" t="n">
        <v>46264</v>
      </c>
      <c r="D271" s="2" t="n">
        <v>4</v>
      </c>
      <c r="E271" s="2" t="s">
        <v>35</v>
      </c>
      <c r="F271" s="2" t="s">
        <v>36</v>
      </c>
      <c r="G271" s="2" t="s">
        <v>37</v>
      </c>
      <c r="H271" s="2" t="s">
        <v>38</v>
      </c>
      <c r="I271" s="2" t="s">
        <v>39</v>
      </c>
      <c r="J271" s="2" t="n">
        <v>48</v>
      </c>
      <c r="K271" s="32" t="s">
        <v>102</v>
      </c>
      <c r="L271" s="15" t="n">
        <f aca="false">SUM(V271:AB271)</f>
        <v>0.00057255526111674</v>
      </c>
      <c r="M271" s="15" t="n">
        <f aca="false">MAX(O271:U271)</f>
        <v>2.7</v>
      </c>
      <c r="N271" s="15" t="n">
        <f aca="false">COUNTIF(M271,"&gt;9.9")</f>
        <v>0</v>
      </c>
      <c r="O271" s="2" t="n">
        <v>2.7</v>
      </c>
      <c r="V271" s="15" t="n">
        <f aca="false">PI()*POWER((O271/200),2)</f>
        <v>0.00057255526111674</v>
      </c>
      <c r="W271" s="15" t="n">
        <f aca="false">PI()*POWER((P271/200),2)</f>
        <v>0</v>
      </c>
      <c r="X271" s="15" t="n">
        <f aca="false">PI()*POWER((Q271/200),2)</f>
        <v>0</v>
      </c>
      <c r="Y271" s="15" t="n">
        <f aca="false">PI()*POWER((R271/200),2)</f>
        <v>0</v>
      </c>
      <c r="Z271" s="15" t="n">
        <f aca="false">PI()*POWER((S271/200),2)</f>
        <v>0</v>
      </c>
      <c r="AA271" s="15" t="n">
        <f aca="false">PI()*POWER((T271/200),2)</f>
        <v>0</v>
      </c>
      <c r="AB271" s="15" t="n">
        <f aca="false">PI()*POWER((U271/200),2)</f>
        <v>0</v>
      </c>
    </row>
    <row r="272" customFormat="false" ht="15" hidden="false" customHeight="false" outlineLevel="0" collapsed="false">
      <c r="A272" s="2" t="s">
        <v>20</v>
      </c>
      <c r="B272" s="2" t="n">
        <v>2</v>
      </c>
      <c r="C272" s="9" t="n">
        <v>46264</v>
      </c>
      <c r="D272" s="2" t="n">
        <v>4</v>
      </c>
      <c r="E272" s="2" t="s">
        <v>35</v>
      </c>
      <c r="F272" s="2" t="s">
        <v>36</v>
      </c>
      <c r="G272" s="2" t="s">
        <v>37</v>
      </c>
      <c r="H272" s="2" t="s">
        <v>38</v>
      </c>
      <c r="I272" s="2" t="s">
        <v>39</v>
      </c>
      <c r="J272" s="2" t="n">
        <v>50</v>
      </c>
      <c r="K272" s="32" t="s">
        <v>102</v>
      </c>
      <c r="L272" s="15" t="n">
        <f aca="false">SUM(V272:AB272)</f>
        <v>0.00090792027688745</v>
      </c>
      <c r="M272" s="15" t="n">
        <f aca="false">MAX(O272:U272)</f>
        <v>3.4</v>
      </c>
      <c r="N272" s="15" t="n">
        <f aca="false">COUNTIF(M272,"&gt;9.9")</f>
        <v>0</v>
      </c>
      <c r="O272" s="2" t="n">
        <v>3.4</v>
      </c>
      <c r="V272" s="15" t="n">
        <f aca="false">PI()*POWER((O272/200),2)</f>
        <v>0.00090792027688745</v>
      </c>
      <c r="W272" s="15" t="n">
        <f aca="false">PI()*POWER((P272/200),2)</f>
        <v>0</v>
      </c>
      <c r="X272" s="15" t="n">
        <f aca="false">PI()*POWER((Q272/200),2)</f>
        <v>0</v>
      </c>
      <c r="Y272" s="15" t="n">
        <f aca="false">PI()*POWER((R272/200),2)</f>
        <v>0</v>
      </c>
      <c r="Z272" s="15" t="n">
        <f aca="false">PI()*POWER((S272/200),2)</f>
        <v>0</v>
      </c>
      <c r="AA272" s="15" t="n">
        <f aca="false">PI()*POWER((T272/200),2)</f>
        <v>0</v>
      </c>
      <c r="AB272" s="15" t="n">
        <f aca="false">PI()*POWER((U272/200),2)</f>
        <v>0</v>
      </c>
    </row>
    <row r="273" customFormat="false" ht="15" hidden="false" customHeight="false" outlineLevel="0" collapsed="false">
      <c r="A273" s="2" t="s">
        <v>20</v>
      </c>
      <c r="B273" s="2" t="n">
        <v>2</v>
      </c>
      <c r="C273" s="9" t="n">
        <v>46264</v>
      </c>
      <c r="D273" s="2" t="n">
        <v>4</v>
      </c>
      <c r="E273" s="2" t="s">
        <v>35</v>
      </c>
      <c r="F273" s="2" t="s">
        <v>36</v>
      </c>
      <c r="G273" s="2" t="s">
        <v>37</v>
      </c>
      <c r="H273" s="2" t="s">
        <v>38</v>
      </c>
      <c r="I273" s="2" t="s">
        <v>39</v>
      </c>
      <c r="J273" s="2" t="n">
        <v>53</v>
      </c>
      <c r="K273" s="32" t="s">
        <v>102</v>
      </c>
      <c r="L273" s="15" t="n">
        <f aca="false">SUM(V273:AB273)</f>
        <v>0.000962112750161874</v>
      </c>
      <c r="M273" s="15" t="n">
        <f aca="false">MAX(O273:U273)</f>
        <v>3.5</v>
      </c>
      <c r="N273" s="15" t="n">
        <f aca="false">COUNTIF(M273,"&gt;9.9")</f>
        <v>0</v>
      </c>
      <c r="O273" s="2" t="n">
        <v>3.5</v>
      </c>
      <c r="V273" s="15" t="n">
        <f aca="false">PI()*POWER((O273/200),2)</f>
        <v>0.000962112750161874</v>
      </c>
      <c r="W273" s="15" t="n">
        <f aca="false">PI()*POWER((P273/200),2)</f>
        <v>0</v>
      </c>
      <c r="X273" s="15" t="n">
        <f aca="false">PI()*POWER((Q273/200),2)</f>
        <v>0</v>
      </c>
      <c r="Y273" s="15" t="n">
        <f aca="false">PI()*POWER((R273/200),2)</f>
        <v>0</v>
      </c>
      <c r="Z273" s="15" t="n">
        <f aca="false">PI()*POWER((S273/200),2)</f>
        <v>0</v>
      </c>
      <c r="AA273" s="15" t="n">
        <f aca="false">PI()*POWER((T273/200),2)</f>
        <v>0</v>
      </c>
      <c r="AB273" s="15" t="n">
        <f aca="false">PI()*POWER((U273/200),2)</f>
        <v>0</v>
      </c>
    </row>
    <row r="274" customFormat="false" ht="15" hidden="false" customHeight="false" outlineLevel="0" collapsed="false">
      <c r="A274" s="2" t="s">
        <v>20</v>
      </c>
      <c r="B274" s="2" t="n">
        <v>2</v>
      </c>
      <c r="C274" s="9" t="n">
        <v>46264</v>
      </c>
      <c r="D274" s="2" t="n">
        <v>4</v>
      </c>
      <c r="E274" s="2" t="s">
        <v>35</v>
      </c>
      <c r="F274" s="2" t="s">
        <v>36</v>
      </c>
      <c r="G274" s="2" t="s">
        <v>37</v>
      </c>
      <c r="H274" s="2" t="s">
        <v>38</v>
      </c>
      <c r="I274" s="2" t="s">
        <v>39</v>
      </c>
      <c r="J274" s="2" t="n">
        <v>49</v>
      </c>
      <c r="K274" s="32" t="s">
        <v>102</v>
      </c>
      <c r="L274" s="15" t="n">
        <f aca="false">SUM(V274:AB274)</f>
        <v>0.00125663706143592</v>
      </c>
      <c r="M274" s="15" t="n">
        <f aca="false">MAX(O274:U274)</f>
        <v>4</v>
      </c>
      <c r="N274" s="15" t="n">
        <f aca="false">COUNTIF(M274,"&gt;9.9")</f>
        <v>0</v>
      </c>
      <c r="O274" s="2" t="n">
        <v>4</v>
      </c>
      <c r="V274" s="15" t="n">
        <f aca="false">PI()*POWER((O274/200),2)</f>
        <v>0.00125663706143592</v>
      </c>
      <c r="W274" s="15" t="n">
        <f aca="false">PI()*POWER((P274/200),2)</f>
        <v>0</v>
      </c>
      <c r="X274" s="15" t="n">
        <f aca="false">PI()*POWER((Q274/200),2)</f>
        <v>0</v>
      </c>
      <c r="Y274" s="15" t="n">
        <f aca="false">PI()*POWER((R274/200),2)</f>
        <v>0</v>
      </c>
      <c r="Z274" s="15" t="n">
        <f aca="false">PI()*POWER((S274/200),2)</f>
        <v>0</v>
      </c>
      <c r="AA274" s="15" t="n">
        <f aca="false">PI()*POWER((T274/200),2)</f>
        <v>0</v>
      </c>
      <c r="AB274" s="15" t="n">
        <f aca="false">PI()*POWER((U274/200),2)</f>
        <v>0</v>
      </c>
    </row>
    <row r="275" customFormat="false" ht="15" hidden="false" customHeight="false" outlineLevel="0" collapsed="false">
      <c r="A275" s="2" t="s">
        <v>20</v>
      </c>
      <c r="B275" s="2" t="n">
        <v>2</v>
      </c>
      <c r="C275" s="9" t="n">
        <v>46264</v>
      </c>
      <c r="D275" s="2" t="n">
        <v>4</v>
      </c>
      <c r="E275" s="2" t="s">
        <v>35</v>
      </c>
      <c r="F275" s="2" t="s">
        <v>36</v>
      </c>
      <c r="G275" s="2" t="s">
        <v>37</v>
      </c>
      <c r="H275" s="2" t="s">
        <v>38</v>
      </c>
      <c r="I275" s="2" t="s">
        <v>39</v>
      </c>
      <c r="J275" s="2" t="n">
        <v>47</v>
      </c>
      <c r="K275" s="32" t="s">
        <v>102</v>
      </c>
      <c r="L275" s="15" t="n">
        <f aca="false">SUM(V275:AB275)</f>
        <v>0.00132025431267111</v>
      </c>
      <c r="M275" s="15" t="n">
        <f aca="false">MAX(O275:U275)</f>
        <v>4.1</v>
      </c>
      <c r="N275" s="15" t="n">
        <f aca="false">COUNTIF(M275,"&gt;9.9")</f>
        <v>0</v>
      </c>
      <c r="O275" s="2" t="n">
        <v>4.1</v>
      </c>
      <c r="V275" s="15" t="n">
        <f aca="false">PI()*POWER((O275/200),2)</f>
        <v>0.00132025431267111</v>
      </c>
      <c r="W275" s="15" t="n">
        <f aca="false">PI()*POWER((P275/200),2)</f>
        <v>0</v>
      </c>
      <c r="X275" s="15" t="n">
        <f aca="false">PI()*POWER((Q275/200),2)</f>
        <v>0</v>
      </c>
      <c r="Y275" s="15" t="n">
        <f aca="false">PI()*POWER((R275/200),2)</f>
        <v>0</v>
      </c>
      <c r="Z275" s="15" t="n">
        <f aca="false">PI()*POWER((S275/200),2)</f>
        <v>0</v>
      </c>
      <c r="AA275" s="15" t="n">
        <f aca="false">PI()*POWER((T275/200),2)</f>
        <v>0</v>
      </c>
      <c r="AB275" s="15" t="n">
        <f aca="false">PI()*POWER((U275/200),2)</f>
        <v>0</v>
      </c>
    </row>
    <row r="276" customFormat="false" ht="15" hidden="false" customHeight="false" outlineLevel="0" collapsed="false">
      <c r="A276" s="2" t="s">
        <v>20</v>
      </c>
      <c r="B276" s="2" t="n">
        <v>2</v>
      </c>
      <c r="C276" s="9" t="n">
        <v>46264</v>
      </c>
      <c r="D276" s="2" t="n">
        <v>4</v>
      </c>
      <c r="E276" s="2" t="s">
        <v>35</v>
      </c>
      <c r="F276" s="2" t="s">
        <v>36</v>
      </c>
      <c r="G276" s="2" t="s">
        <v>37</v>
      </c>
      <c r="H276" s="2" t="s">
        <v>38</v>
      </c>
      <c r="I276" s="2" t="s">
        <v>39</v>
      </c>
      <c r="J276" s="2" t="n">
        <v>21</v>
      </c>
      <c r="K276" s="32" t="s">
        <v>103</v>
      </c>
      <c r="L276" s="15" t="n">
        <f aca="false">SUM(V276:AB276)</f>
        <v>0.000176714586764426</v>
      </c>
      <c r="M276" s="15" t="n">
        <f aca="false">MAX(O276:U276)</f>
        <v>1.5</v>
      </c>
      <c r="N276" s="15" t="n">
        <f aca="false">COUNTIF(M276,"&gt;9.9")</f>
        <v>0</v>
      </c>
      <c r="O276" s="2" t="n">
        <v>1.5</v>
      </c>
      <c r="V276" s="15" t="n">
        <f aca="false">PI()*POWER((O276/200),2)</f>
        <v>0.000176714586764426</v>
      </c>
      <c r="W276" s="15" t="n">
        <f aca="false">PI()*POWER((P276/200),2)</f>
        <v>0</v>
      </c>
      <c r="X276" s="15" t="n">
        <f aca="false">PI()*POWER((Q276/200),2)</f>
        <v>0</v>
      </c>
      <c r="Y276" s="15" t="n">
        <f aca="false">PI()*POWER((R276/200),2)</f>
        <v>0</v>
      </c>
      <c r="Z276" s="15" t="n">
        <f aca="false">PI()*POWER((S276/200),2)</f>
        <v>0</v>
      </c>
      <c r="AA276" s="15" t="n">
        <f aca="false">PI()*POWER((T276/200),2)</f>
        <v>0</v>
      </c>
      <c r="AB276" s="15" t="n">
        <f aca="false">PI()*POWER((U276/200),2)</f>
        <v>0</v>
      </c>
    </row>
    <row r="277" customFormat="false" ht="15" hidden="false" customHeight="false" outlineLevel="0" collapsed="false">
      <c r="A277" s="2" t="s">
        <v>20</v>
      </c>
      <c r="B277" s="2" t="n">
        <v>2</v>
      </c>
      <c r="C277" s="9" t="n">
        <v>46264</v>
      </c>
      <c r="D277" s="2" t="n">
        <v>4</v>
      </c>
      <c r="E277" s="2" t="s">
        <v>35</v>
      </c>
      <c r="F277" s="2" t="s">
        <v>36</v>
      </c>
      <c r="G277" s="2" t="s">
        <v>37</v>
      </c>
      <c r="H277" s="2" t="s">
        <v>38</v>
      </c>
      <c r="I277" s="2" t="s">
        <v>39</v>
      </c>
      <c r="J277" s="2" t="n">
        <v>12</v>
      </c>
      <c r="K277" s="32" t="s">
        <v>103</v>
      </c>
      <c r="L277" s="15" t="n">
        <f aca="false">SUM(V277:AB277)</f>
        <v>0.000226980069221863</v>
      </c>
      <c r="M277" s="15" t="n">
        <f aca="false">MAX(O277:U277)</f>
        <v>1.7</v>
      </c>
      <c r="N277" s="15" t="n">
        <f aca="false">COUNTIF(M277,"&gt;9.9")</f>
        <v>0</v>
      </c>
      <c r="O277" s="2" t="n">
        <v>1.7</v>
      </c>
      <c r="V277" s="15" t="n">
        <f aca="false">PI()*POWER((O277/200),2)</f>
        <v>0.000226980069221863</v>
      </c>
      <c r="W277" s="15" t="n">
        <f aca="false">PI()*POWER((P277/200),2)</f>
        <v>0</v>
      </c>
      <c r="X277" s="15" t="n">
        <f aca="false">PI()*POWER((Q277/200),2)</f>
        <v>0</v>
      </c>
      <c r="Y277" s="15" t="n">
        <f aca="false">PI()*POWER((R277/200),2)</f>
        <v>0</v>
      </c>
      <c r="Z277" s="15" t="n">
        <f aca="false">PI()*POWER((S277/200),2)</f>
        <v>0</v>
      </c>
      <c r="AA277" s="15" t="n">
        <f aca="false">PI()*POWER((T277/200),2)</f>
        <v>0</v>
      </c>
      <c r="AB277" s="15" t="n">
        <f aca="false">PI()*POWER((U277/200),2)</f>
        <v>0</v>
      </c>
    </row>
    <row r="278" customFormat="false" ht="15" hidden="false" customHeight="false" outlineLevel="0" collapsed="false">
      <c r="A278" s="2" t="s">
        <v>20</v>
      </c>
      <c r="B278" s="2" t="n">
        <v>2</v>
      </c>
      <c r="C278" s="9" t="n">
        <v>46264</v>
      </c>
      <c r="D278" s="2" t="n">
        <v>4</v>
      </c>
      <c r="E278" s="2" t="s">
        <v>35</v>
      </c>
      <c r="F278" s="2" t="s">
        <v>36</v>
      </c>
      <c r="G278" s="2" t="s">
        <v>37</v>
      </c>
      <c r="H278" s="2" t="s">
        <v>38</v>
      </c>
      <c r="I278" s="2" t="s">
        <v>39</v>
      </c>
      <c r="J278" s="2" t="n">
        <v>39</v>
      </c>
      <c r="K278" s="32" t="s">
        <v>103</v>
      </c>
      <c r="L278" s="15" t="n">
        <f aca="false">SUM(V278:AB278)</f>
        <v>0.000314159265358979</v>
      </c>
      <c r="M278" s="15" t="n">
        <f aca="false">MAX(O278:U278)</f>
        <v>2</v>
      </c>
      <c r="N278" s="15" t="n">
        <f aca="false">COUNTIF(M278,"&gt;9.9")</f>
        <v>0</v>
      </c>
      <c r="O278" s="2" t="n">
        <v>2</v>
      </c>
      <c r="V278" s="15" t="n">
        <f aca="false">PI()*POWER((O278/200),2)</f>
        <v>0.000314159265358979</v>
      </c>
      <c r="W278" s="15" t="n">
        <f aca="false">PI()*POWER((P278/200),2)</f>
        <v>0</v>
      </c>
      <c r="X278" s="15" t="n">
        <f aca="false">PI()*POWER((Q278/200),2)</f>
        <v>0</v>
      </c>
      <c r="Y278" s="15" t="n">
        <f aca="false">PI()*POWER((R278/200),2)</f>
        <v>0</v>
      </c>
      <c r="Z278" s="15" t="n">
        <f aca="false">PI()*POWER((S278/200),2)</f>
        <v>0</v>
      </c>
      <c r="AA278" s="15" t="n">
        <f aca="false">PI()*POWER((T278/200),2)</f>
        <v>0</v>
      </c>
      <c r="AB278" s="15" t="n">
        <f aca="false">PI()*POWER((U278/200),2)</f>
        <v>0</v>
      </c>
    </row>
    <row r="279" customFormat="false" ht="15" hidden="false" customHeight="false" outlineLevel="0" collapsed="false">
      <c r="A279" s="2" t="s">
        <v>20</v>
      </c>
      <c r="B279" s="2" t="n">
        <v>2</v>
      </c>
      <c r="C279" s="9" t="n">
        <v>46264</v>
      </c>
      <c r="D279" s="2" t="n">
        <v>4</v>
      </c>
      <c r="E279" s="2" t="s">
        <v>35</v>
      </c>
      <c r="F279" s="2" t="s">
        <v>36</v>
      </c>
      <c r="G279" s="2" t="s">
        <v>37</v>
      </c>
      <c r="H279" s="2" t="s">
        <v>38</v>
      </c>
      <c r="I279" s="2" t="s">
        <v>39</v>
      </c>
      <c r="J279" s="2" t="n">
        <v>40</v>
      </c>
      <c r="K279" s="32" t="s">
        <v>103</v>
      </c>
      <c r="L279" s="15" t="n">
        <f aca="false">SUM(V279:AB279)</f>
        <v>0.000530929158456675</v>
      </c>
      <c r="M279" s="15" t="n">
        <f aca="false">MAX(O279:U279)</f>
        <v>2.6</v>
      </c>
      <c r="N279" s="15" t="n">
        <f aca="false">COUNTIF(M279,"&gt;9.9")</f>
        <v>0</v>
      </c>
      <c r="O279" s="2" t="n">
        <v>2.6</v>
      </c>
      <c r="V279" s="15" t="n">
        <f aca="false">PI()*POWER((O279/200),2)</f>
        <v>0.000530929158456675</v>
      </c>
      <c r="W279" s="15" t="n">
        <f aca="false">PI()*POWER((P279/200),2)</f>
        <v>0</v>
      </c>
      <c r="X279" s="15" t="n">
        <f aca="false">PI()*POWER((Q279/200),2)</f>
        <v>0</v>
      </c>
      <c r="Y279" s="15" t="n">
        <f aca="false">PI()*POWER((R279/200),2)</f>
        <v>0</v>
      </c>
      <c r="Z279" s="15" t="n">
        <f aca="false">PI()*POWER((S279/200),2)</f>
        <v>0</v>
      </c>
      <c r="AA279" s="15" t="n">
        <f aca="false">PI()*POWER((T279/200),2)</f>
        <v>0</v>
      </c>
      <c r="AB279" s="15" t="n">
        <f aca="false">PI()*POWER((U279/200),2)</f>
        <v>0</v>
      </c>
    </row>
    <row r="280" customFormat="false" ht="15" hidden="false" customHeight="false" outlineLevel="0" collapsed="false">
      <c r="A280" s="2" t="s">
        <v>20</v>
      </c>
      <c r="B280" s="2" t="n">
        <v>2</v>
      </c>
      <c r="C280" s="9" t="n">
        <v>46264</v>
      </c>
      <c r="D280" s="2" t="n">
        <v>4</v>
      </c>
      <c r="E280" s="2" t="s">
        <v>35</v>
      </c>
      <c r="F280" s="2" t="s">
        <v>36</v>
      </c>
      <c r="G280" s="2" t="s">
        <v>37</v>
      </c>
      <c r="H280" s="2" t="s">
        <v>38</v>
      </c>
      <c r="I280" s="2" t="s">
        <v>39</v>
      </c>
      <c r="J280" s="2" t="n">
        <v>42</v>
      </c>
      <c r="K280" s="32" t="s">
        <v>103</v>
      </c>
      <c r="L280" s="15" t="n">
        <f aca="false">SUM(V280:AB280)</f>
        <v>0.00057255526111674</v>
      </c>
      <c r="M280" s="15" t="n">
        <f aca="false">MAX(O280:U280)</f>
        <v>2.7</v>
      </c>
      <c r="N280" s="15" t="n">
        <f aca="false">COUNTIF(M280,"&gt;9.9")</f>
        <v>0</v>
      </c>
      <c r="O280" s="2" t="n">
        <v>2.7</v>
      </c>
      <c r="V280" s="15" t="n">
        <f aca="false">PI()*POWER((O280/200),2)</f>
        <v>0.00057255526111674</v>
      </c>
      <c r="W280" s="15" t="n">
        <f aca="false">PI()*POWER((P280/200),2)</f>
        <v>0</v>
      </c>
      <c r="X280" s="15" t="n">
        <f aca="false">PI()*POWER((Q280/200),2)</f>
        <v>0</v>
      </c>
      <c r="Y280" s="15" t="n">
        <f aca="false">PI()*POWER((R280/200),2)</f>
        <v>0</v>
      </c>
      <c r="Z280" s="15" t="n">
        <f aca="false">PI()*POWER((S280/200),2)</f>
        <v>0</v>
      </c>
      <c r="AA280" s="15" t="n">
        <f aca="false">PI()*POWER((T280/200),2)</f>
        <v>0</v>
      </c>
      <c r="AB280" s="15" t="n">
        <f aca="false">PI()*POWER((U280/200),2)</f>
        <v>0</v>
      </c>
    </row>
    <row r="281" customFormat="false" ht="15" hidden="false" customHeight="false" outlineLevel="0" collapsed="false">
      <c r="A281" s="2" t="s">
        <v>20</v>
      </c>
      <c r="B281" s="2" t="n">
        <v>2</v>
      </c>
      <c r="C281" s="9" t="n">
        <v>46264</v>
      </c>
      <c r="D281" s="2" t="n">
        <v>4</v>
      </c>
      <c r="E281" s="2" t="s">
        <v>35</v>
      </c>
      <c r="F281" s="2" t="s">
        <v>36</v>
      </c>
      <c r="G281" s="2" t="s">
        <v>37</v>
      </c>
      <c r="H281" s="2" t="s">
        <v>38</v>
      </c>
      <c r="I281" s="2" t="s">
        <v>39</v>
      </c>
      <c r="J281" s="2" t="n">
        <v>15</v>
      </c>
      <c r="K281" s="32" t="s">
        <v>103</v>
      </c>
      <c r="L281" s="15" t="n">
        <f aca="false">SUM(V281:AB281)</f>
        <v>0.00113411494794592</v>
      </c>
      <c r="M281" s="15" t="n">
        <f aca="false">MAX(O281:U281)</f>
        <v>3.8</v>
      </c>
      <c r="N281" s="15" t="n">
        <f aca="false">COUNTIF(M281,"&gt;9.9")</f>
        <v>0</v>
      </c>
      <c r="O281" s="2" t="n">
        <v>3.8</v>
      </c>
      <c r="V281" s="15" t="n">
        <f aca="false">PI()*POWER((O281/200),2)</f>
        <v>0.00113411494794592</v>
      </c>
      <c r="W281" s="15" t="n">
        <f aca="false">PI()*POWER((P281/200),2)</f>
        <v>0</v>
      </c>
      <c r="X281" s="15" t="n">
        <f aca="false">PI()*POWER((Q281/200),2)</f>
        <v>0</v>
      </c>
      <c r="Y281" s="15" t="n">
        <f aca="false">PI()*POWER((R281/200),2)</f>
        <v>0</v>
      </c>
      <c r="Z281" s="15" t="n">
        <f aca="false">PI()*POWER((S281/200),2)</f>
        <v>0</v>
      </c>
      <c r="AA281" s="15" t="n">
        <f aca="false">PI()*POWER((T281/200),2)</f>
        <v>0</v>
      </c>
      <c r="AB281" s="15" t="n">
        <f aca="false">PI()*POWER((U281/200),2)</f>
        <v>0</v>
      </c>
    </row>
    <row r="282" customFormat="false" ht="15" hidden="false" customHeight="false" outlineLevel="0" collapsed="false">
      <c r="A282" s="2" t="s">
        <v>20</v>
      </c>
      <c r="B282" s="2" t="n">
        <v>2</v>
      </c>
      <c r="C282" s="9" t="n">
        <v>46264</v>
      </c>
      <c r="D282" s="2" t="n">
        <v>4</v>
      </c>
      <c r="E282" s="2" t="s">
        <v>35</v>
      </c>
      <c r="F282" s="2" t="s">
        <v>36</v>
      </c>
      <c r="G282" s="2" t="s">
        <v>37</v>
      </c>
      <c r="H282" s="2" t="s">
        <v>38</v>
      </c>
      <c r="I282" s="2" t="s">
        <v>39</v>
      </c>
      <c r="J282" s="2" t="n">
        <v>18</v>
      </c>
      <c r="K282" s="32" t="s">
        <v>103</v>
      </c>
      <c r="L282" s="15" t="n">
        <f aca="false">SUM(V282:AB282)</f>
        <v>0.00113411494794592</v>
      </c>
      <c r="M282" s="15" t="n">
        <f aca="false">MAX(O282:U282)</f>
        <v>3.8</v>
      </c>
      <c r="N282" s="15" t="n">
        <f aca="false">COUNTIF(M282,"&gt;9.9")</f>
        <v>0</v>
      </c>
      <c r="O282" s="2" t="n">
        <v>3.8</v>
      </c>
      <c r="V282" s="15" t="n">
        <f aca="false">PI()*POWER((O282/200),2)</f>
        <v>0.00113411494794592</v>
      </c>
      <c r="W282" s="15" t="n">
        <f aca="false">PI()*POWER((P282/200),2)</f>
        <v>0</v>
      </c>
      <c r="X282" s="15" t="n">
        <f aca="false">PI()*POWER((Q282/200),2)</f>
        <v>0</v>
      </c>
      <c r="Y282" s="15" t="n">
        <f aca="false">PI()*POWER((R282/200),2)</f>
        <v>0</v>
      </c>
      <c r="Z282" s="15" t="n">
        <f aca="false">PI()*POWER((S282/200),2)</f>
        <v>0</v>
      </c>
      <c r="AA282" s="15" t="n">
        <f aca="false">PI()*POWER((T282/200),2)</f>
        <v>0</v>
      </c>
      <c r="AB282" s="15" t="n">
        <f aca="false">PI()*POWER((U282/200),2)</f>
        <v>0</v>
      </c>
    </row>
    <row r="283" customFormat="false" ht="15" hidden="false" customHeight="false" outlineLevel="0" collapsed="false">
      <c r="A283" s="2" t="s">
        <v>20</v>
      </c>
      <c r="B283" s="2" t="n">
        <v>2</v>
      </c>
      <c r="C283" s="9" t="n">
        <v>46264</v>
      </c>
      <c r="D283" s="2" t="n">
        <v>4</v>
      </c>
      <c r="E283" s="2" t="s">
        <v>35</v>
      </c>
      <c r="F283" s="2" t="s">
        <v>36</v>
      </c>
      <c r="G283" s="2" t="s">
        <v>37</v>
      </c>
      <c r="H283" s="2" t="s">
        <v>38</v>
      </c>
      <c r="I283" s="2" t="s">
        <v>39</v>
      </c>
      <c r="J283" s="2" t="n">
        <v>30</v>
      </c>
      <c r="K283" s="32" t="s">
        <v>103</v>
      </c>
      <c r="L283" s="15" t="n">
        <f aca="false">SUM(V283:AB283)</f>
        <v>0.00113411494794592</v>
      </c>
      <c r="M283" s="15" t="n">
        <f aca="false">MAX(O283:U283)</f>
        <v>3.8</v>
      </c>
      <c r="N283" s="15" t="n">
        <f aca="false">COUNTIF(M283,"&gt;9.9")</f>
        <v>0</v>
      </c>
      <c r="O283" s="2" t="n">
        <v>3.8</v>
      </c>
      <c r="V283" s="15" t="n">
        <f aca="false">PI()*POWER((O283/200),2)</f>
        <v>0.00113411494794592</v>
      </c>
      <c r="W283" s="15" t="n">
        <f aca="false">PI()*POWER((P283/200),2)</f>
        <v>0</v>
      </c>
      <c r="X283" s="15" t="n">
        <f aca="false">PI()*POWER((Q283/200),2)</f>
        <v>0</v>
      </c>
      <c r="Y283" s="15" t="n">
        <f aca="false">PI()*POWER((R283/200),2)</f>
        <v>0</v>
      </c>
      <c r="Z283" s="15" t="n">
        <f aca="false">PI()*POWER((S283/200),2)</f>
        <v>0</v>
      </c>
      <c r="AA283" s="15" t="n">
        <f aca="false">PI()*POWER((T283/200),2)</f>
        <v>0</v>
      </c>
      <c r="AB283" s="15" t="n">
        <f aca="false">PI()*POWER((U283/200),2)</f>
        <v>0</v>
      </c>
    </row>
    <row r="284" customFormat="false" ht="15" hidden="false" customHeight="false" outlineLevel="0" collapsed="false">
      <c r="A284" s="2" t="s">
        <v>20</v>
      </c>
      <c r="B284" s="2" t="n">
        <v>2</v>
      </c>
      <c r="C284" s="9" t="n">
        <v>46264</v>
      </c>
      <c r="D284" s="2" t="n">
        <v>4</v>
      </c>
      <c r="E284" s="2" t="s">
        <v>35</v>
      </c>
      <c r="F284" s="2" t="s">
        <v>36</v>
      </c>
      <c r="G284" s="2" t="s">
        <v>37</v>
      </c>
      <c r="H284" s="2" t="s">
        <v>38</v>
      </c>
      <c r="I284" s="2" t="s">
        <v>39</v>
      </c>
      <c r="J284" s="2" t="n">
        <v>41</v>
      </c>
      <c r="K284" s="32" t="s">
        <v>103</v>
      </c>
      <c r="L284" s="15" t="n">
        <f aca="false">SUM(V284:AB284)</f>
        <v>0.00113411494794592</v>
      </c>
      <c r="M284" s="15" t="n">
        <f aca="false">MAX(O284:U284)</f>
        <v>3.8</v>
      </c>
      <c r="N284" s="15" t="n">
        <f aca="false">COUNTIF(M284,"&gt;9.9")</f>
        <v>0</v>
      </c>
      <c r="O284" s="2" t="n">
        <v>3.8</v>
      </c>
      <c r="V284" s="15" t="n">
        <f aca="false">PI()*POWER((O284/200),2)</f>
        <v>0.00113411494794592</v>
      </c>
      <c r="W284" s="15" t="n">
        <f aca="false">PI()*POWER((P284/200),2)</f>
        <v>0</v>
      </c>
      <c r="X284" s="15" t="n">
        <f aca="false">PI()*POWER((Q284/200),2)</f>
        <v>0</v>
      </c>
      <c r="Y284" s="15" t="n">
        <f aca="false">PI()*POWER((R284/200),2)</f>
        <v>0</v>
      </c>
      <c r="Z284" s="15" t="n">
        <f aca="false">PI()*POWER((S284/200),2)</f>
        <v>0</v>
      </c>
      <c r="AA284" s="15" t="n">
        <f aca="false">PI()*POWER((T284/200),2)</f>
        <v>0</v>
      </c>
      <c r="AB284" s="15" t="n">
        <f aca="false">PI()*POWER((U284/200),2)</f>
        <v>0</v>
      </c>
    </row>
    <row r="285" customFormat="false" ht="15" hidden="false" customHeight="false" outlineLevel="0" collapsed="false">
      <c r="A285" s="2" t="s">
        <v>20</v>
      </c>
      <c r="B285" s="2" t="n">
        <v>2</v>
      </c>
      <c r="C285" s="9" t="n">
        <v>46264</v>
      </c>
      <c r="D285" s="2" t="n">
        <v>4</v>
      </c>
      <c r="E285" s="2" t="s">
        <v>35</v>
      </c>
      <c r="F285" s="2" t="s">
        <v>36</v>
      </c>
      <c r="G285" s="2" t="s">
        <v>37</v>
      </c>
      <c r="H285" s="2" t="s">
        <v>38</v>
      </c>
      <c r="I285" s="2" t="s">
        <v>39</v>
      </c>
      <c r="J285" s="2" t="n">
        <v>13</v>
      </c>
      <c r="K285" s="32" t="s">
        <v>103</v>
      </c>
      <c r="L285" s="15" t="n">
        <f aca="false">SUM(V285:AB285)</f>
        <v>0.00125663706143592</v>
      </c>
      <c r="M285" s="15" t="n">
        <f aca="false">MAX(O285:U285)</f>
        <v>4</v>
      </c>
      <c r="N285" s="15" t="n">
        <f aca="false">COUNTIF(M285,"&gt;9.9")</f>
        <v>0</v>
      </c>
      <c r="O285" s="2" t="n">
        <v>4</v>
      </c>
      <c r="V285" s="15" t="n">
        <f aca="false">PI()*POWER((O285/200),2)</f>
        <v>0.00125663706143592</v>
      </c>
      <c r="W285" s="15" t="n">
        <f aca="false">PI()*POWER((P285/200),2)</f>
        <v>0</v>
      </c>
      <c r="X285" s="15" t="n">
        <f aca="false">PI()*POWER((Q285/200),2)</f>
        <v>0</v>
      </c>
      <c r="Y285" s="15" t="n">
        <f aca="false">PI()*POWER((R285/200),2)</f>
        <v>0</v>
      </c>
      <c r="Z285" s="15" t="n">
        <f aca="false">PI()*POWER((S285/200),2)</f>
        <v>0</v>
      </c>
      <c r="AA285" s="15" t="n">
        <f aca="false">PI()*POWER((T285/200),2)</f>
        <v>0</v>
      </c>
      <c r="AB285" s="15" t="n">
        <f aca="false">PI()*POWER((U285/200),2)</f>
        <v>0</v>
      </c>
    </row>
    <row r="286" customFormat="false" ht="15" hidden="false" customHeight="false" outlineLevel="0" collapsed="false">
      <c r="A286" s="2" t="s">
        <v>20</v>
      </c>
      <c r="B286" s="2" t="n">
        <v>2</v>
      </c>
      <c r="C286" s="9" t="n">
        <v>46264</v>
      </c>
      <c r="D286" s="2" t="n">
        <v>4</v>
      </c>
      <c r="E286" s="2" t="s">
        <v>35</v>
      </c>
      <c r="F286" s="2" t="s">
        <v>36</v>
      </c>
      <c r="G286" s="2" t="s">
        <v>37</v>
      </c>
      <c r="H286" s="2" t="s">
        <v>38</v>
      </c>
      <c r="I286" s="2" t="s">
        <v>39</v>
      </c>
      <c r="J286" s="2" t="n">
        <v>28</v>
      </c>
      <c r="K286" s="32" t="s">
        <v>103</v>
      </c>
      <c r="L286" s="15" t="n">
        <f aca="false">SUM(V286:AB286)</f>
        <v>0.00125663706143592</v>
      </c>
      <c r="M286" s="15" t="n">
        <f aca="false">MAX(O286:U286)</f>
        <v>4</v>
      </c>
      <c r="N286" s="15" t="n">
        <f aca="false">COUNTIF(M286,"&gt;9.9")</f>
        <v>0</v>
      </c>
      <c r="O286" s="2" t="n">
        <v>4</v>
      </c>
      <c r="V286" s="15" t="n">
        <f aca="false">PI()*POWER((O286/200),2)</f>
        <v>0.00125663706143592</v>
      </c>
      <c r="W286" s="15" t="n">
        <f aca="false">PI()*POWER((P286/200),2)</f>
        <v>0</v>
      </c>
      <c r="X286" s="15" t="n">
        <f aca="false">PI()*POWER((Q286/200),2)</f>
        <v>0</v>
      </c>
      <c r="Y286" s="15" t="n">
        <f aca="false">PI()*POWER((R286/200),2)</f>
        <v>0</v>
      </c>
      <c r="Z286" s="15" t="n">
        <f aca="false">PI()*POWER((S286/200),2)</f>
        <v>0</v>
      </c>
      <c r="AA286" s="15" t="n">
        <f aca="false">PI()*POWER((T286/200),2)</f>
        <v>0</v>
      </c>
      <c r="AB286" s="15" t="n">
        <f aca="false">PI()*POWER((U286/200),2)</f>
        <v>0</v>
      </c>
    </row>
    <row r="287" customFormat="false" ht="15" hidden="false" customHeight="false" outlineLevel="0" collapsed="false">
      <c r="A287" s="2" t="s">
        <v>20</v>
      </c>
      <c r="B287" s="2" t="n">
        <v>2</v>
      </c>
      <c r="C287" s="9" t="n">
        <v>46264</v>
      </c>
      <c r="D287" s="2" t="n">
        <v>4</v>
      </c>
      <c r="E287" s="2" t="s">
        <v>35</v>
      </c>
      <c r="F287" s="2" t="s">
        <v>36</v>
      </c>
      <c r="G287" s="2" t="s">
        <v>37</v>
      </c>
      <c r="H287" s="2" t="s">
        <v>38</v>
      </c>
      <c r="I287" s="2" t="s">
        <v>39</v>
      </c>
      <c r="J287" s="2" t="n">
        <v>19</v>
      </c>
      <c r="K287" s="32" t="s">
        <v>103</v>
      </c>
      <c r="L287" s="15" t="n">
        <f aca="false">SUM(V287:AB287)</f>
        <v>0.0013854423602331</v>
      </c>
      <c r="M287" s="15" t="n">
        <f aca="false">MAX(O287:U287)</f>
        <v>4.2</v>
      </c>
      <c r="N287" s="15" t="n">
        <f aca="false">COUNTIF(M287,"&gt;9.9")</f>
        <v>0</v>
      </c>
      <c r="O287" s="2" t="n">
        <v>4.2</v>
      </c>
      <c r="V287" s="15" t="n">
        <f aca="false">PI()*POWER((O287/200),2)</f>
        <v>0.0013854423602331</v>
      </c>
      <c r="W287" s="15" t="n">
        <f aca="false">PI()*POWER((P287/200),2)</f>
        <v>0</v>
      </c>
      <c r="X287" s="15" t="n">
        <f aca="false">PI()*POWER((Q287/200),2)</f>
        <v>0</v>
      </c>
      <c r="Y287" s="15" t="n">
        <f aca="false">PI()*POWER((R287/200),2)</f>
        <v>0</v>
      </c>
      <c r="Z287" s="15" t="n">
        <f aca="false">PI()*POWER((S287/200),2)</f>
        <v>0</v>
      </c>
      <c r="AA287" s="15" t="n">
        <f aca="false">PI()*POWER((T287/200),2)</f>
        <v>0</v>
      </c>
      <c r="AB287" s="15" t="n">
        <f aca="false">PI()*POWER((U287/200),2)</f>
        <v>0</v>
      </c>
    </row>
    <row r="288" customFormat="false" ht="15" hidden="false" customHeight="false" outlineLevel="0" collapsed="false">
      <c r="A288" s="2" t="s">
        <v>20</v>
      </c>
      <c r="B288" s="2" t="n">
        <v>2</v>
      </c>
      <c r="C288" s="9" t="n">
        <v>46264</v>
      </c>
      <c r="D288" s="2" t="n">
        <v>4</v>
      </c>
      <c r="E288" s="2" t="s">
        <v>35</v>
      </c>
      <c r="F288" s="2" t="s">
        <v>36</v>
      </c>
      <c r="G288" s="2" t="s">
        <v>37</v>
      </c>
      <c r="H288" s="2" t="s">
        <v>38</v>
      </c>
      <c r="I288" s="2" t="s">
        <v>39</v>
      </c>
      <c r="J288" s="2" t="n">
        <v>33</v>
      </c>
      <c r="K288" s="32" t="s">
        <v>103</v>
      </c>
      <c r="L288" s="15" t="n">
        <f aca="false">SUM(V288:AB288)</f>
        <v>0.0013854423602331</v>
      </c>
      <c r="M288" s="15" t="n">
        <f aca="false">MAX(O288:U288)</f>
        <v>4.2</v>
      </c>
      <c r="N288" s="15" t="n">
        <f aca="false">COUNTIF(M288,"&gt;9.9")</f>
        <v>0</v>
      </c>
      <c r="O288" s="2" t="n">
        <v>4.2</v>
      </c>
      <c r="V288" s="15" t="n">
        <f aca="false">PI()*POWER((O288/200),2)</f>
        <v>0.0013854423602331</v>
      </c>
      <c r="W288" s="15" t="n">
        <f aca="false">PI()*POWER((P288/200),2)</f>
        <v>0</v>
      </c>
      <c r="X288" s="15" t="n">
        <f aca="false">PI()*POWER((Q288/200),2)</f>
        <v>0</v>
      </c>
      <c r="Y288" s="15" t="n">
        <f aca="false">PI()*POWER((R288/200),2)</f>
        <v>0</v>
      </c>
      <c r="Z288" s="15" t="n">
        <f aca="false">PI()*POWER((S288/200),2)</f>
        <v>0</v>
      </c>
      <c r="AA288" s="15" t="n">
        <f aca="false">PI()*POWER((T288/200),2)</f>
        <v>0</v>
      </c>
      <c r="AB288" s="15" t="n">
        <f aca="false">PI()*POWER((U288/200),2)</f>
        <v>0</v>
      </c>
    </row>
    <row r="289" customFormat="false" ht="15" hidden="false" customHeight="false" outlineLevel="0" collapsed="false">
      <c r="A289" s="2" t="s">
        <v>20</v>
      </c>
      <c r="B289" s="2" t="n">
        <v>2</v>
      </c>
      <c r="C289" s="9" t="n">
        <v>46264</v>
      </c>
      <c r="D289" s="2" t="n">
        <v>4</v>
      </c>
      <c r="E289" s="2" t="s">
        <v>35</v>
      </c>
      <c r="F289" s="2" t="s">
        <v>36</v>
      </c>
      <c r="G289" s="2" t="s">
        <v>37</v>
      </c>
      <c r="H289" s="2" t="s">
        <v>38</v>
      </c>
      <c r="I289" s="2" t="s">
        <v>39</v>
      </c>
      <c r="J289" s="2" t="n">
        <v>38</v>
      </c>
      <c r="K289" s="32" t="s">
        <v>103</v>
      </c>
      <c r="L289" s="15" t="n">
        <f aca="false">SUM(V289:AB289)</f>
        <v>0.00145220120412188</v>
      </c>
      <c r="M289" s="15" t="n">
        <f aca="false">MAX(O289:U289)</f>
        <v>4.3</v>
      </c>
      <c r="N289" s="15" t="n">
        <f aca="false">COUNTIF(M289,"&gt;9.9")</f>
        <v>0</v>
      </c>
      <c r="O289" s="2" t="n">
        <v>4.3</v>
      </c>
      <c r="V289" s="15" t="n">
        <f aca="false">PI()*POWER((O289/200),2)</f>
        <v>0.00145220120412188</v>
      </c>
      <c r="W289" s="15" t="n">
        <f aca="false">PI()*POWER((P289/200),2)</f>
        <v>0</v>
      </c>
      <c r="X289" s="15" t="n">
        <f aca="false">PI()*POWER((Q289/200),2)</f>
        <v>0</v>
      </c>
      <c r="Y289" s="15" t="n">
        <f aca="false">PI()*POWER((R289/200),2)</f>
        <v>0</v>
      </c>
      <c r="Z289" s="15" t="n">
        <f aca="false">PI()*POWER((S289/200),2)</f>
        <v>0</v>
      </c>
      <c r="AA289" s="15" t="n">
        <f aca="false">PI()*POWER((T289/200),2)</f>
        <v>0</v>
      </c>
      <c r="AB289" s="15" t="n">
        <f aca="false">PI()*POWER((U289/200),2)</f>
        <v>0</v>
      </c>
    </row>
    <row r="290" customFormat="false" ht="15" hidden="false" customHeight="false" outlineLevel="0" collapsed="false">
      <c r="A290" s="2" t="s">
        <v>20</v>
      </c>
      <c r="B290" s="2" t="n">
        <v>2</v>
      </c>
      <c r="C290" s="9" t="n">
        <v>46264</v>
      </c>
      <c r="D290" s="2" t="n">
        <v>4</v>
      </c>
      <c r="E290" s="2" t="s">
        <v>35</v>
      </c>
      <c r="F290" s="2" t="s">
        <v>36</v>
      </c>
      <c r="G290" s="2" t="s">
        <v>37</v>
      </c>
      <c r="H290" s="2" t="s">
        <v>38</v>
      </c>
      <c r="I290" s="2" t="s">
        <v>39</v>
      </c>
      <c r="J290" s="2" t="n">
        <v>44</v>
      </c>
      <c r="K290" s="32" t="s">
        <v>103</v>
      </c>
      <c r="L290" s="15" t="n">
        <f aca="false">SUM(V290:AB290)</f>
        <v>0.00145220120412188</v>
      </c>
      <c r="M290" s="15" t="n">
        <f aca="false">MAX(O290:U290)</f>
        <v>4.3</v>
      </c>
      <c r="N290" s="15" t="n">
        <f aca="false">COUNTIF(M290,"&gt;9.9")</f>
        <v>0</v>
      </c>
      <c r="O290" s="2" t="n">
        <v>4.3</v>
      </c>
      <c r="V290" s="15" t="n">
        <f aca="false">PI()*POWER((O290/200),2)</f>
        <v>0.00145220120412188</v>
      </c>
      <c r="W290" s="15" t="n">
        <f aca="false">PI()*POWER((P290/200),2)</f>
        <v>0</v>
      </c>
      <c r="X290" s="15" t="n">
        <f aca="false">PI()*POWER((Q290/200),2)</f>
        <v>0</v>
      </c>
      <c r="Y290" s="15" t="n">
        <f aca="false">PI()*POWER((R290/200),2)</f>
        <v>0</v>
      </c>
      <c r="Z290" s="15" t="n">
        <f aca="false">PI()*POWER((S290/200),2)</f>
        <v>0</v>
      </c>
      <c r="AA290" s="15" t="n">
        <f aca="false">PI()*POWER((T290/200),2)</f>
        <v>0</v>
      </c>
      <c r="AB290" s="15" t="n">
        <f aca="false">PI()*POWER((U290/200),2)</f>
        <v>0</v>
      </c>
    </row>
    <row r="291" customFormat="false" ht="15" hidden="false" customHeight="false" outlineLevel="0" collapsed="false">
      <c r="A291" s="2" t="s">
        <v>20</v>
      </c>
      <c r="B291" s="2" t="n">
        <v>2</v>
      </c>
      <c r="C291" s="9" t="n">
        <v>46264</v>
      </c>
      <c r="D291" s="2" t="n">
        <v>4</v>
      </c>
      <c r="E291" s="2" t="s">
        <v>35</v>
      </c>
      <c r="F291" s="2" t="s">
        <v>36</v>
      </c>
      <c r="G291" s="2" t="s">
        <v>37</v>
      </c>
      <c r="H291" s="2" t="s">
        <v>38</v>
      </c>
      <c r="I291" s="2" t="s">
        <v>39</v>
      </c>
      <c r="J291" s="2" t="n">
        <v>2</v>
      </c>
      <c r="K291" s="32" t="s">
        <v>103</v>
      </c>
      <c r="L291" s="15" t="n">
        <f aca="false">SUM(V291:AB291)</f>
        <v>0.00152053084433746</v>
      </c>
      <c r="M291" s="15" t="n">
        <f aca="false">MAX(O291:U291)</f>
        <v>4.4</v>
      </c>
      <c r="N291" s="15" t="n">
        <f aca="false">COUNTIF(M291,"&gt;9.9")</f>
        <v>0</v>
      </c>
      <c r="O291" s="2" t="n">
        <v>4.4</v>
      </c>
      <c r="V291" s="15" t="n">
        <f aca="false">PI()*POWER((O291/200),2)</f>
        <v>0.00152053084433746</v>
      </c>
      <c r="W291" s="15" t="n">
        <f aca="false">PI()*POWER((P291/200),2)</f>
        <v>0</v>
      </c>
      <c r="X291" s="15" t="n">
        <f aca="false">PI()*POWER((Q291/200),2)</f>
        <v>0</v>
      </c>
      <c r="Y291" s="15" t="n">
        <f aca="false">PI()*POWER((R291/200),2)</f>
        <v>0</v>
      </c>
      <c r="Z291" s="15" t="n">
        <f aca="false">PI()*POWER((S291/200),2)</f>
        <v>0</v>
      </c>
      <c r="AA291" s="15" t="n">
        <f aca="false">PI()*POWER((T291/200),2)</f>
        <v>0</v>
      </c>
      <c r="AB291" s="15" t="n">
        <f aca="false">PI()*POWER((U291/200),2)</f>
        <v>0</v>
      </c>
    </row>
    <row r="292" customFormat="false" ht="15" hidden="false" customHeight="false" outlineLevel="0" collapsed="false">
      <c r="A292" s="2" t="s">
        <v>20</v>
      </c>
      <c r="B292" s="2" t="n">
        <v>2</v>
      </c>
      <c r="C292" s="9" t="n">
        <v>46264</v>
      </c>
      <c r="D292" s="2" t="n">
        <v>4</v>
      </c>
      <c r="E292" s="2" t="s">
        <v>35</v>
      </c>
      <c r="F292" s="2" t="s">
        <v>36</v>
      </c>
      <c r="G292" s="2" t="s">
        <v>37</v>
      </c>
      <c r="H292" s="2" t="s">
        <v>38</v>
      </c>
      <c r="I292" s="2" t="s">
        <v>39</v>
      </c>
      <c r="J292" s="2" t="n">
        <v>10</v>
      </c>
      <c r="K292" s="32" t="s">
        <v>103</v>
      </c>
      <c r="L292" s="15" t="n">
        <f aca="false">SUM(V292:AB292)</f>
        <v>0.00159043128087983</v>
      </c>
      <c r="M292" s="15" t="n">
        <f aca="false">MAX(O292:U292)</f>
        <v>4.5</v>
      </c>
      <c r="N292" s="15" t="n">
        <f aca="false">COUNTIF(M292,"&gt;9.9")</f>
        <v>0</v>
      </c>
      <c r="O292" s="2" t="n">
        <v>4.5</v>
      </c>
      <c r="V292" s="15" t="n">
        <f aca="false">PI()*POWER((O292/200),2)</f>
        <v>0.00159043128087983</v>
      </c>
      <c r="W292" s="15" t="n">
        <f aca="false">PI()*POWER((P292/200),2)</f>
        <v>0</v>
      </c>
      <c r="X292" s="15" t="n">
        <f aca="false">PI()*POWER((Q292/200),2)</f>
        <v>0</v>
      </c>
      <c r="Y292" s="15" t="n">
        <f aca="false">PI()*POWER((R292/200),2)</f>
        <v>0</v>
      </c>
      <c r="Z292" s="15" t="n">
        <f aca="false">PI()*POWER((S292/200),2)</f>
        <v>0</v>
      </c>
      <c r="AA292" s="15" t="n">
        <f aca="false">PI()*POWER((T292/200),2)</f>
        <v>0</v>
      </c>
      <c r="AB292" s="15" t="n">
        <f aca="false">PI()*POWER((U292/200),2)</f>
        <v>0</v>
      </c>
    </row>
    <row r="293" customFormat="false" ht="15" hidden="false" customHeight="false" outlineLevel="0" collapsed="false">
      <c r="A293" s="2" t="s">
        <v>20</v>
      </c>
      <c r="B293" s="2" t="n">
        <v>2</v>
      </c>
      <c r="C293" s="9" t="n">
        <v>46264</v>
      </c>
      <c r="D293" s="2" t="n">
        <v>4</v>
      </c>
      <c r="E293" s="2" t="s">
        <v>35</v>
      </c>
      <c r="F293" s="2" t="s">
        <v>36</v>
      </c>
      <c r="G293" s="2" t="s">
        <v>37</v>
      </c>
      <c r="H293" s="2" t="s">
        <v>38</v>
      </c>
      <c r="I293" s="2" t="s">
        <v>39</v>
      </c>
      <c r="J293" s="2" t="n">
        <v>20</v>
      </c>
      <c r="K293" s="32" t="s">
        <v>103</v>
      </c>
      <c r="L293" s="15" t="n">
        <f aca="false">SUM(V293:AB293)</f>
        <v>0.001661902513749</v>
      </c>
      <c r="M293" s="15" t="n">
        <f aca="false">MAX(O293:U293)</f>
        <v>4.6</v>
      </c>
      <c r="N293" s="15" t="n">
        <f aca="false">COUNTIF(M293,"&gt;9.9")</f>
        <v>0</v>
      </c>
      <c r="O293" s="2" t="n">
        <v>4.6</v>
      </c>
      <c r="V293" s="15" t="n">
        <f aca="false">PI()*POWER((O293/200),2)</f>
        <v>0.001661902513749</v>
      </c>
      <c r="W293" s="15" t="n">
        <f aca="false">PI()*POWER((P293/200),2)</f>
        <v>0</v>
      </c>
      <c r="X293" s="15" t="n">
        <f aca="false">PI()*POWER((Q293/200),2)</f>
        <v>0</v>
      </c>
      <c r="Y293" s="15" t="n">
        <f aca="false">PI()*POWER((R293/200),2)</f>
        <v>0</v>
      </c>
      <c r="Z293" s="15" t="n">
        <f aca="false">PI()*POWER((S293/200),2)</f>
        <v>0</v>
      </c>
      <c r="AA293" s="15" t="n">
        <f aca="false">PI()*POWER((T293/200),2)</f>
        <v>0</v>
      </c>
      <c r="AB293" s="15" t="n">
        <f aca="false">PI()*POWER((U293/200),2)</f>
        <v>0</v>
      </c>
    </row>
    <row r="294" customFormat="false" ht="15" hidden="false" customHeight="false" outlineLevel="0" collapsed="false">
      <c r="A294" s="2" t="s">
        <v>20</v>
      </c>
      <c r="B294" s="2" t="n">
        <v>2</v>
      </c>
      <c r="C294" s="9" t="n">
        <v>46264</v>
      </c>
      <c r="D294" s="2" t="n">
        <v>4</v>
      </c>
      <c r="E294" s="2" t="s">
        <v>35</v>
      </c>
      <c r="F294" s="2" t="s">
        <v>36</v>
      </c>
      <c r="G294" s="2" t="s">
        <v>37</v>
      </c>
      <c r="H294" s="2" t="s">
        <v>38</v>
      </c>
      <c r="I294" s="2" t="s">
        <v>39</v>
      </c>
      <c r="J294" s="2" t="n">
        <v>45</v>
      </c>
      <c r="K294" s="32" t="s">
        <v>103</v>
      </c>
      <c r="L294" s="15" t="n">
        <f aca="false">SUM(V294:AB294)</f>
        <v>0.00196349540849362</v>
      </c>
      <c r="M294" s="15" t="n">
        <f aca="false">MAX(O294:U294)</f>
        <v>5</v>
      </c>
      <c r="N294" s="15" t="n">
        <f aca="false">COUNTIF(M294,"&gt;9.9")</f>
        <v>0</v>
      </c>
      <c r="O294" s="2" t="n">
        <v>5</v>
      </c>
      <c r="V294" s="15" t="n">
        <f aca="false">PI()*POWER((O294/200),2)</f>
        <v>0.00196349540849362</v>
      </c>
      <c r="W294" s="15" t="n">
        <f aca="false">PI()*POWER((P294/200),2)</f>
        <v>0</v>
      </c>
      <c r="X294" s="15" t="n">
        <f aca="false">PI()*POWER((Q294/200),2)</f>
        <v>0</v>
      </c>
      <c r="Y294" s="15" t="n">
        <f aca="false">PI()*POWER((R294/200),2)</f>
        <v>0</v>
      </c>
      <c r="Z294" s="15" t="n">
        <f aca="false">PI()*POWER((S294/200),2)</f>
        <v>0</v>
      </c>
      <c r="AA294" s="15" t="n">
        <f aca="false">PI()*POWER((T294/200),2)</f>
        <v>0</v>
      </c>
      <c r="AB294" s="15" t="n">
        <f aca="false">PI()*POWER((U294/200),2)</f>
        <v>0</v>
      </c>
    </row>
    <row r="295" customFormat="false" ht="15" hidden="false" customHeight="false" outlineLevel="0" collapsed="false">
      <c r="A295" s="2" t="s">
        <v>20</v>
      </c>
      <c r="B295" s="2" t="n">
        <v>2</v>
      </c>
      <c r="C295" s="9" t="n">
        <v>46264</v>
      </c>
      <c r="D295" s="2" t="n">
        <v>4</v>
      </c>
      <c r="E295" s="2" t="s">
        <v>35</v>
      </c>
      <c r="F295" s="2" t="s">
        <v>36</v>
      </c>
      <c r="G295" s="2" t="s">
        <v>37</v>
      </c>
      <c r="H295" s="2" t="s">
        <v>38</v>
      </c>
      <c r="I295" s="2" t="s">
        <v>39</v>
      </c>
      <c r="J295" s="2" t="n">
        <v>24</v>
      </c>
      <c r="K295" s="32" t="s">
        <v>103</v>
      </c>
      <c r="L295" s="15" t="n">
        <f aca="false">SUM(V295:AB295)</f>
        <v>0.00282743338823081</v>
      </c>
      <c r="M295" s="15" t="n">
        <f aca="false">MAX(O295:U295)</f>
        <v>6</v>
      </c>
      <c r="N295" s="15" t="n">
        <f aca="false">COUNTIF(M295,"&gt;9.9")</f>
        <v>0</v>
      </c>
      <c r="O295" s="2" t="n">
        <v>6</v>
      </c>
      <c r="V295" s="15" t="n">
        <f aca="false">PI()*POWER((O295/200),2)</f>
        <v>0.00282743338823081</v>
      </c>
      <c r="W295" s="15" t="n">
        <f aca="false">PI()*POWER((P295/200),2)</f>
        <v>0</v>
      </c>
      <c r="X295" s="15" t="n">
        <f aca="false">PI()*POWER((Q295/200),2)</f>
        <v>0</v>
      </c>
      <c r="Y295" s="15" t="n">
        <f aca="false">PI()*POWER((R295/200),2)</f>
        <v>0</v>
      </c>
      <c r="Z295" s="15" t="n">
        <f aca="false">PI()*POWER((S295/200),2)</f>
        <v>0</v>
      </c>
      <c r="AA295" s="15" t="n">
        <f aca="false">PI()*POWER((T295/200),2)</f>
        <v>0</v>
      </c>
      <c r="AB295" s="15" t="n">
        <f aca="false">PI()*POWER((U295/200),2)</f>
        <v>0</v>
      </c>
    </row>
    <row r="296" customFormat="false" ht="15" hidden="false" customHeight="false" outlineLevel="0" collapsed="false">
      <c r="A296" s="2" t="s">
        <v>20</v>
      </c>
      <c r="B296" s="2" t="n">
        <v>2</v>
      </c>
      <c r="C296" s="9" t="n">
        <v>46264</v>
      </c>
      <c r="D296" s="2" t="n">
        <v>4</v>
      </c>
      <c r="E296" s="2" t="s">
        <v>35</v>
      </c>
      <c r="F296" s="2" t="s">
        <v>36</v>
      </c>
      <c r="G296" s="2" t="s">
        <v>37</v>
      </c>
      <c r="H296" s="2" t="s">
        <v>38</v>
      </c>
      <c r="I296" s="2" t="s">
        <v>39</v>
      </c>
      <c r="J296" s="2" t="n">
        <v>4</v>
      </c>
      <c r="K296" s="32" t="s">
        <v>103</v>
      </c>
      <c r="L296" s="15" t="n">
        <f aca="false">SUM(V296:AB296)</f>
        <v>0.00331830724035422</v>
      </c>
      <c r="M296" s="15" t="n">
        <f aca="false">MAX(O296:U296)</f>
        <v>6.5</v>
      </c>
      <c r="N296" s="15" t="n">
        <f aca="false">COUNTIF(M296,"&gt;9.9")</f>
        <v>0</v>
      </c>
      <c r="O296" s="2" t="n">
        <v>6.5</v>
      </c>
      <c r="V296" s="15" t="n">
        <f aca="false">PI()*POWER((O296/200),2)</f>
        <v>0.00331830724035422</v>
      </c>
      <c r="W296" s="15" t="n">
        <f aca="false">PI()*POWER((P296/200),2)</f>
        <v>0</v>
      </c>
      <c r="X296" s="15" t="n">
        <f aca="false">PI()*POWER((Q296/200),2)</f>
        <v>0</v>
      </c>
      <c r="Y296" s="15" t="n">
        <f aca="false">PI()*POWER((R296/200),2)</f>
        <v>0</v>
      </c>
      <c r="Z296" s="15" t="n">
        <f aca="false">PI()*POWER((S296/200),2)</f>
        <v>0</v>
      </c>
      <c r="AA296" s="15" t="n">
        <f aca="false">PI()*POWER((T296/200),2)</f>
        <v>0</v>
      </c>
      <c r="AB296" s="15" t="n">
        <f aca="false">PI()*POWER((U296/200),2)</f>
        <v>0</v>
      </c>
    </row>
    <row r="297" customFormat="false" ht="15" hidden="false" customHeight="false" outlineLevel="0" collapsed="false">
      <c r="A297" s="2" t="s">
        <v>20</v>
      </c>
      <c r="B297" s="2" t="n">
        <v>2</v>
      </c>
      <c r="C297" s="9" t="n">
        <v>46264</v>
      </c>
      <c r="D297" s="2" t="n">
        <v>4</v>
      </c>
      <c r="E297" s="2" t="s">
        <v>35</v>
      </c>
      <c r="F297" s="2" t="s">
        <v>36</v>
      </c>
      <c r="G297" s="2" t="s">
        <v>37</v>
      </c>
      <c r="H297" s="2" t="s">
        <v>38</v>
      </c>
      <c r="I297" s="2" t="s">
        <v>39</v>
      </c>
      <c r="J297" s="2" t="n">
        <v>25</v>
      </c>
      <c r="K297" s="32" t="s">
        <v>103</v>
      </c>
      <c r="L297" s="15" t="n">
        <f aca="false">SUM(V297:AB297)</f>
        <v>0.00352565235549115</v>
      </c>
      <c r="M297" s="15" t="n">
        <f aca="false">MAX(O297:U297)</f>
        <v>6.7</v>
      </c>
      <c r="N297" s="15" t="n">
        <f aca="false">COUNTIF(M297,"&gt;9.9")</f>
        <v>0</v>
      </c>
      <c r="O297" s="2" t="n">
        <v>6.7</v>
      </c>
      <c r="V297" s="15" t="n">
        <f aca="false">PI()*POWER((O297/200),2)</f>
        <v>0.00352565235549115</v>
      </c>
      <c r="W297" s="15" t="n">
        <f aca="false">PI()*POWER((P297/200),2)</f>
        <v>0</v>
      </c>
      <c r="X297" s="15" t="n">
        <f aca="false">PI()*POWER((Q297/200),2)</f>
        <v>0</v>
      </c>
      <c r="Y297" s="15" t="n">
        <f aca="false">PI()*POWER((R297/200),2)</f>
        <v>0</v>
      </c>
      <c r="Z297" s="15" t="n">
        <f aca="false">PI()*POWER((S297/200),2)</f>
        <v>0</v>
      </c>
      <c r="AA297" s="15" t="n">
        <f aca="false">PI()*POWER((T297/200),2)</f>
        <v>0</v>
      </c>
      <c r="AB297" s="15" t="n">
        <f aca="false">PI()*POWER((U297/200),2)</f>
        <v>0</v>
      </c>
    </row>
    <row r="298" customFormat="false" ht="15" hidden="false" customHeight="false" outlineLevel="0" collapsed="false">
      <c r="A298" s="2" t="s">
        <v>20</v>
      </c>
      <c r="B298" s="2" t="n">
        <v>2</v>
      </c>
      <c r="C298" s="9" t="n">
        <v>46264</v>
      </c>
      <c r="D298" s="2" t="n">
        <v>4</v>
      </c>
      <c r="E298" s="2" t="s">
        <v>35</v>
      </c>
      <c r="F298" s="2" t="s">
        <v>36</v>
      </c>
      <c r="G298" s="2" t="s">
        <v>37</v>
      </c>
      <c r="H298" s="2" t="s">
        <v>38</v>
      </c>
      <c r="I298" s="2" t="s">
        <v>39</v>
      </c>
      <c r="J298" s="2" t="n">
        <v>35</v>
      </c>
      <c r="K298" s="32" t="s">
        <v>103</v>
      </c>
      <c r="L298" s="15" t="n">
        <f aca="false">SUM(V298:AB298)</f>
        <v>0.0036316811075498</v>
      </c>
      <c r="M298" s="15" t="n">
        <f aca="false">MAX(O298:U298)</f>
        <v>6.8</v>
      </c>
      <c r="N298" s="15" t="n">
        <f aca="false">COUNTIF(M298,"&gt;9.9")</f>
        <v>0</v>
      </c>
      <c r="O298" s="2" t="n">
        <v>6.8</v>
      </c>
      <c r="V298" s="15" t="n">
        <f aca="false">PI()*POWER((O298/200),2)</f>
        <v>0.0036316811075498</v>
      </c>
      <c r="W298" s="15" t="n">
        <f aca="false">PI()*POWER((P298/200),2)</f>
        <v>0</v>
      </c>
      <c r="X298" s="15" t="n">
        <f aca="false">PI()*POWER((Q298/200),2)</f>
        <v>0</v>
      </c>
      <c r="Y298" s="15" t="n">
        <f aca="false">PI()*POWER((R298/200),2)</f>
        <v>0</v>
      </c>
      <c r="Z298" s="15" t="n">
        <f aca="false">PI()*POWER((S298/200),2)</f>
        <v>0</v>
      </c>
      <c r="AA298" s="15" t="n">
        <f aca="false">PI()*POWER((T298/200),2)</f>
        <v>0</v>
      </c>
      <c r="AB298" s="15" t="n">
        <f aca="false">PI()*POWER((U298/200),2)</f>
        <v>0</v>
      </c>
    </row>
    <row r="299" customFormat="false" ht="15" hidden="false" customHeight="false" outlineLevel="0" collapsed="false">
      <c r="A299" s="2" t="s">
        <v>20</v>
      </c>
      <c r="B299" s="2" t="n">
        <v>2</v>
      </c>
      <c r="C299" s="9" t="n">
        <v>46264</v>
      </c>
      <c r="D299" s="2" t="n">
        <v>4</v>
      </c>
      <c r="E299" s="2" t="s">
        <v>35</v>
      </c>
      <c r="F299" s="2" t="s">
        <v>36</v>
      </c>
      <c r="G299" s="2" t="s">
        <v>37</v>
      </c>
      <c r="H299" s="2" t="s">
        <v>38</v>
      </c>
      <c r="I299" s="2" t="s">
        <v>39</v>
      </c>
      <c r="J299" s="2" t="n">
        <v>9</v>
      </c>
      <c r="K299" s="32" t="s">
        <v>103</v>
      </c>
      <c r="L299" s="15" t="n">
        <f aca="false">SUM(V299:AB299)</f>
        <v>0.0038484510006475</v>
      </c>
      <c r="M299" s="15" t="n">
        <f aca="false">MAX(O299:U299)</f>
        <v>7</v>
      </c>
      <c r="N299" s="15" t="n">
        <f aca="false">COUNTIF(M299,"&gt;9.9")</f>
        <v>0</v>
      </c>
      <c r="O299" s="2" t="n">
        <v>7</v>
      </c>
      <c r="V299" s="15" t="n">
        <f aca="false">PI()*POWER((O299/200),2)</f>
        <v>0.0038484510006475</v>
      </c>
      <c r="W299" s="15" t="n">
        <f aca="false">PI()*POWER((P299/200),2)</f>
        <v>0</v>
      </c>
      <c r="X299" s="15" t="n">
        <f aca="false">PI()*POWER((Q299/200),2)</f>
        <v>0</v>
      </c>
      <c r="Y299" s="15" t="n">
        <f aca="false">PI()*POWER((R299/200),2)</f>
        <v>0</v>
      </c>
      <c r="Z299" s="15" t="n">
        <f aca="false">PI()*POWER((S299/200),2)</f>
        <v>0</v>
      </c>
      <c r="AA299" s="15" t="n">
        <f aca="false">PI()*POWER((T299/200),2)</f>
        <v>0</v>
      </c>
      <c r="AB299" s="15" t="n">
        <f aca="false">PI()*POWER((U299/200),2)</f>
        <v>0</v>
      </c>
    </row>
    <row r="300" customFormat="false" ht="15" hidden="false" customHeight="false" outlineLevel="0" collapsed="false">
      <c r="A300" s="2" t="s">
        <v>20</v>
      </c>
      <c r="B300" s="2" t="n">
        <v>2</v>
      </c>
      <c r="C300" s="9" t="n">
        <v>46264</v>
      </c>
      <c r="D300" s="2" t="n">
        <v>4</v>
      </c>
      <c r="E300" s="2" t="s">
        <v>35</v>
      </c>
      <c r="F300" s="2" t="s">
        <v>36</v>
      </c>
      <c r="G300" s="2" t="s">
        <v>37</v>
      </c>
      <c r="H300" s="2" t="s">
        <v>38</v>
      </c>
      <c r="I300" s="2" t="s">
        <v>39</v>
      </c>
      <c r="J300" s="2" t="n">
        <v>34</v>
      </c>
      <c r="K300" s="32" t="s">
        <v>103</v>
      </c>
      <c r="L300" s="15" t="n">
        <f aca="false">SUM(V300:AB300)</f>
        <v>0.0038484510006475</v>
      </c>
      <c r="M300" s="15" t="n">
        <f aca="false">MAX(O300:U300)</f>
        <v>7</v>
      </c>
      <c r="N300" s="15" t="n">
        <f aca="false">COUNTIF(M300,"&gt;9.9")</f>
        <v>0</v>
      </c>
      <c r="O300" s="2" t="n">
        <v>7</v>
      </c>
      <c r="V300" s="15" t="n">
        <f aca="false">PI()*POWER((O300/200),2)</f>
        <v>0.0038484510006475</v>
      </c>
      <c r="W300" s="15" t="n">
        <f aca="false">PI()*POWER((P300/200),2)</f>
        <v>0</v>
      </c>
      <c r="X300" s="15" t="n">
        <f aca="false">PI()*POWER((Q300/200),2)</f>
        <v>0</v>
      </c>
      <c r="Y300" s="15" t="n">
        <f aca="false">PI()*POWER((R300/200),2)</f>
        <v>0</v>
      </c>
      <c r="Z300" s="15" t="n">
        <f aca="false">PI()*POWER((S300/200),2)</f>
        <v>0</v>
      </c>
      <c r="AA300" s="15" t="n">
        <f aca="false">PI()*POWER((T300/200),2)</f>
        <v>0</v>
      </c>
      <c r="AB300" s="15" t="n">
        <f aca="false">PI()*POWER((U300/200),2)</f>
        <v>0</v>
      </c>
    </row>
    <row r="301" customFormat="false" ht="15" hidden="false" customHeight="false" outlineLevel="0" collapsed="false">
      <c r="A301" s="2" t="s">
        <v>20</v>
      </c>
      <c r="B301" s="2" t="n">
        <v>2</v>
      </c>
      <c r="C301" s="9" t="n">
        <v>46264</v>
      </c>
      <c r="D301" s="2" t="n">
        <v>4</v>
      </c>
      <c r="E301" s="2" t="s">
        <v>35</v>
      </c>
      <c r="F301" s="2" t="s">
        <v>36</v>
      </c>
      <c r="G301" s="2" t="s">
        <v>37</v>
      </c>
      <c r="H301" s="2" t="s">
        <v>38</v>
      </c>
      <c r="I301" s="2" t="s">
        <v>39</v>
      </c>
      <c r="J301" s="2" t="n">
        <v>36</v>
      </c>
      <c r="K301" s="32" t="s">
        <v>103</v>
      </c>
      <c r="L301" s="15" t="n">
        <f aca="false">SUM(V301:AB301)</f>
        <v>0.00395919214168654</v>
      </c>
      <c r="M301" s="15" t="n">
        <f aca="false">MAX(O301:U301)</f>
        <v>7.1</v>
      </c>
      <c r="N301" s="15" t="n">
        <f aca="false">COUNTIF(M301,"&gt;9.9")</f>
        <v>0</v>
      </c>
      <c r="O301" s="2" t="n">
        <v>7.1</v>
      </c>
      <c r="V301" s="15" t="n">
        <f aca="false">PI()*POWER((O301/200),2)</f>
        <v>0.00395919214168654</v>
      </c>
      <c r="W301" s="15" t="n">
        <f aca="false">PI()*POWER((P301/200),2)</f>
        <v>0</v>
      </c>
      <c r="X301" s="15" t="n">
        <f aca="false">PI()*POWER((Q301/200),2)</f>
        <v>0</v>
      </c>
      <c r="Y301" s="15" t="n">
        <f aca="false">PI()*POWER((R301/200),2)</f>
        <v>0</v>
      </c>
      <c r="Z301" s="15" t="n">
        <f aca="false">PI()*POWER((S301/200),2)</f>
        <v>0</v>
      </c>
      <c r="AA301" s="15" t="n">
        <f aca="false">PI()*POWER((T301/200),2)</f>
        <v>0</v>
      </c>
      <c r="AB301" s="15" t="n">
        <f aca="false">PI()*POWER((U301/200),2)</f>
        <v>0</v>
      </c>
    </row>
    <row r="302" customFormat="false" ht="15" hidden="false" customHeight="false" outlineLevel="0" collapsed="false">
      <c r="A302" s="2" t="s">
        <v>20</v>
      </c>
      <c r="B302" s="2" t="n">
        <v>2</v>
      </c>
      <c r="C302" s="9" t="n">
        <v>46264</v>
      </c>
      <c r="D302" s="2" t="n">
        <v>4</v>
      </c>
      <c r="E302" s="2" t="s">
        <v>35</v>
      </c>
      <c r="F302" s="2" t="s">
        <v>36</v>
      </c>
      <c r="G302" s="2" t="s">
        <v>37</v>
      </c>
      <c r="H302" s="2" t="s">
        <v>38</v>
      </c>
      <c r="I302" s="2" t="s">
        <v>39</v>
      </c>
      <c r="J302" s="2" t="n">
        <v>31</v>
      </c>
      <c r="K302" s="32" t="s">
        <v>103</v>
      </c>
      <c r="L302" s="15" t="n">
        <f aca="false">SUM(V302:AB302)</f>
        <v>0.00430084034276443</v>
      </c>
      <c r="M302" s="15" t="n">
        <f aca="false">MAX(O302:U302)</f>
        <v>7.4</v>
      </c>
      <c r="N302" s="15" t="n">
        <f aca="false">COUNTIF(M302,"&gt;9.9")</f>
        <v>0</v>
      </c>
      <c r="O302" s="2" t="n">
        <v>7.4</v>
      </c>
      <c r="V302" s="15" t="n">
        <f aca="false">PI()*POWER((O302/200),2)</f>
        <v>0.00430084034276443</v>
      </c>
      <c r="W302" s="15" t="n">
        <f aca="false">PI()*POWER((P302/200),2)</f>
        <v>0</v>
      </c>
      <c r="X302" s="15" t="n">
        <f aca="false">PI()*POWER((Q302/200),2)</f>
        <v>0</v>
      </c>
      <c r="Y302" s="15" t="n">
        <f aca="false">PI()*POWER((R302/200),2)</f>
        <v>0</v>
      </c>
      <c r="Z302" s="15" t="n">
        <f aca="false">PI()*POWER((S302/200),2)</f>
        <v>0</v>
      </c>
      <c r="AA302" s="15" t="n">
        <f aca="false">PI()*POWER((T302/200),2)</f>
        <v>0</v>
      </c>
      <c r="AB302" s="15" t="n">
        <f aca="false">PI()*POWER((U302/200),2)</f>
        <v>0</v>
      </c>
    </row>
    <row r="303" customFormat="false" ht="15" hidden="false" customHeight="false" outlineLevel="0" collapsed="false">
      <c r="A303" s="2" t="s">
        <v>20</v>
      </c>
      <c r="B303" s="2" t="n">
        <v>2</v>
      </c>
      <c r="C303" s="9" t="n">
        <v>46264</v>
      </c>
      <c r="D303" s="2" t="n">
        <v>4</v>
      </c>
      <c r="E303" s="2" t="s">
        <v>35</v>
      </c>
      <c r="F303" s="2" t="s">
        <v>36</v>
      </c>
      <c r="G303" s="2" t="s">
        <v>37</v>
      </c>
      <c r="H303" s="2" t="s">
        <v>38</v>
      </c>
      <c r="I303" s="2" t="s">
        <v>39</v>
      </c>
      <c r="J303" s="2" t="n">
        <v>14</v>
      </c>
      <c r="K303" s="32" t="s">
        <v>103</v>
      </c>
      <c r="L303" s="15" t="n">
        <f aca="false">SUM(V303:AB303)</f>
        <v>0.00441786466911065</v>
      </c>
      <c r="M303" s="15" t="n">
        <f aca="false">MAX(O303:U303)</f>
        <v>7.5</v>
      </c>
      <c r="N303" s="15" t="n">
        <f aca="false">COUNTIF(M303,"&gt;9.9")</f>
        <v>0</v>
      </c>
      <c r="O303" s="2" t="n">
        <v>7.5</v>
      </c>
      <c r="V303" s="15" t="n">
        <f aca="false">PI()*POWER((O303/200),2)</f>
        <v>0.00441786466911065</v>
      </c>
      <c r="W303" s="15" t="n">
        <f aca="false">PI()*POWER((P303/200),2)</f>
        <v>0</v>
      </c>
      <c r="X303" s="15" t="n">
        <f aca="false">PI()*POWER((Q303/200),2)</f>
        <v>0</v>
      </c>
      <c r="Y303" s="15" t="n">
        <f aca="false">PI()*POWER((R303/200),2)</f>
        <v>0</v>
      </c>
      <c r="Z303" s="15" t="n">
        <f aca="false">PI()*POWER((S303/200),2)</f>
        <v>0</v>
      </c>
      <c r="AA303" s="15" t="n">
        <f aca="false">PI()*POWER((T303/200),2)</f>
        <v>0</v>
      </c>
      <c r="AB303" s="15" t="n">
        <f aca="false">PI()*POWER((U303/200),2)</f>
        <v>0</v>
      </c>
    </row>
    <row r="304" customFormat="false" ht="15" hidden="false" customHeight="false" outlineLevel="0" collapsed="false">
      <c r="A304" s="2" t="s">
        <v>20</v>
      </c>
      <c r="B304" s="2" t="n">
        <v>2</v>
      </c>
      <c r="C304" s="9" t="n">
        <v>46264</v>
      </c>
      <c r="D304" s="2" t="n">
        <v>4</v>
      </c>
      <c r="E304" s="2" t="s">
        <v>35</v>
      </c>
      <c r="F304" s="2" t="s">
        <v>36</v>
      </c>
      <c r="G304" s="2" t="s">
        <v>37</v>
      </c>
      <c r="H304" s="2" t="s">
        <v>38</v>
      </c>
      <c r="I304" s="2" t="s">
        <v>39</v>
      </c>
      <c r="J304" s="2" t="n">
        <v>29</v>
      </c>
      <c r="K304" s="32" t="s">
        <v>103</v>
      </c>
      <c r="L304" s="15" t="n">
        <f aca="false">SUM(V304:AB304)</f>
        <v>0.00567450173054657</v>
      </c>
      <c r="M304" s="15" t="n">
        <f aca="false">MAX(O304:U304)</f>
        <v>8.5</v>
      </c>
      <c r="N304" s="15" t="n">
        <f aca="false">COUNTIF(M304,"&gt;9.9")</f>
        <v>0</v>
      </c>
      <c r="O304" s="2" t="n">
        <v>8.5</v>
      </c>
      <c r="V304" s="15" t="n">
        <f aca="false">PI()*POWER((O304/200),2)</f>
        <v>0.00567450173054657</v>
      </c>
      <c r="W304" s="15" t="n">
        <f aca="false">PI()*POWER((P304/200),2)</f>
        <v>0</v>
      </c>
      <c r="X304" s="15" t="n">
        <f aca="false">PI()*POWER((Q304/200),2)</f>
        <v>0</v>
      </c>
      <c r="Y304" s="15" t="n">
        <f aca="false">PI()*POWER((R304/200),2)</f>
        <v>0</v>
      </c>
      <c r="Z304" s="15" t="n">
        <f aca="false">PI()*POWER((S304/200),2)</f>
        <v>0</v>
      </c>
      <c r="AA304" s="15" t="n">
        <f aca="false">PI()*POWER((T304/200),2)</f>
        <v>0</v>
      </c>
      <c r="AB304" s="15" t="n">
        <f aca="false">PI()*POWER((U304/200),2)</f>
        <v>0</v>
      </c>
    </row>
    <row r="305" customFormat="false" ht="15" hidden="false" customHeight="false" outlineLevel="0" collapsed="false">
      <c r="A305" s="2" t="s">
        <v>20</v>
      </c>
      <c r="B305" s="2" t="n">
        <v>2</v>
      </c>
      <c r="C305" s="9" t="n">
        <v>46264</v>
      </c>
      <c r="D305" s="2" t="n">
        <v>4</v>
      </c>
      <c r="E305" s="2" t="s">
        <v>35</v>
      </c>
      <c r="F305" s="2" t="s">
        <v>36</v>
      </c>
      <c r="G305" s="2" t="s">
        <v>37</v>
      </c>
      <c r="H305" s="2" t="s">
        <v>38</v>
      </c>
      <c r="I305" s="2" t="s">
        <v>39</v>
      </c>
      <c r="J305" s="2" t="n">
        <v>5</v>
      </c>
      <c r="K305" s="32" t="s">
        <v>103</v>
      </c>
      <c r="L305" s="15" t="n">
        <f aca="false">SUM(V305:AB305)</f>
        <v>0.00580880481648753</v>
      </c>
      <c r="M305" s="15" t="n">
        <f aca="false">MAX(O305:U305)</f>
        <v>8.6</v>
      </c>
      <c r="N305" s="15" t="n">
        <f aca="false">COUNTIF(M305,"&gt;9.9")</f>
        <v>0</v>
      </c>
      <c r="O305" s="2" t="n">
        <v>8.6</v>
      </c>
      <c r="V305" s="15" t="n">
        <f aca="false">PI()*POWER((O305/200),2)</f>
        <v>0.00580880481648753</v>
      </c>
      <c r="W305" s="15" t="n">
        <f aca="false">PI()*POWER((P305/200),2)</f>
        <v>0</v>
      </c>
      <c r="X305" s="15" t="n">
        <f aca="false">PI()*POWER((Q305/200),2)</f>
        <v>0</v>
      </c>
      <c r="Y305" s="15" t="n">
        <f aca="false">PI()*POWER((R305/200),2)</f>
        <v>0</v>
      </c>
      <c r="Z305" s="15" t="n">
        <f aca="false">PI()*POWER((S305/200),2)</f>
        <v>0</v>
      </c>
      <c r="AA305" s="15" t="n">
        <f aca="false">PI()*POWER((T305/200),2)</f>
        <v>0</v>
      </c>
      <c r="AB305" s="15" t="n">
        <f aca="false">PI()*POWER((U305/200),2)</f>
        <v>0</v>
      </c>
    </row>
    <row r="306" customFormat="false" ht="15" hidden="false" customHeight="false" outlineLevel="0" collapsed="false">
      <c r="A306" s="2" t="s">
        <v>20</v>
      </c>
      <c r="B306" s="2" t="n">
        <v>2</v>
      </c>
      <c r="C306" s="9" t="n">
        <v>46264</v>
      </c>
      <c r="D306" s="2" t="n">
        <v>4</v>
      </c>
      <c r="E306" s="2" t="s">
        <v>35</v>
      </c>
      <c r="F306" s="2" t="s">
        <v>36</v>
      </c>
      <c r="G306" s="2" t="s">
        <v>37</v>
      </c>
      <c r="H306" s="2" t="s">
        <v>38</v>
      </c>
      <c r="I306" s="2" t="s">
        <v>39</v>
      </c>
      <c r="J306" s="2" t="n">
        <v>3</v>
      </c>
      <c r="K306" s="32" t="s">
        <v>103</v>
      </c>
      <c r="L306" s="15" t="n">
        <f aca="false">SUM(V306:AB306)</f>
        <v>0.00636172512351933</v>
      </c>
      <c r="M306" s="15" t="n">
        <f aca="false">MAX(O306:U306)</f>
        <v>9</v>
      </c>
      <c r="N306" s="15" t="n">
        <f aca="false">COUNTIF(M306,"&gt;9.9")</f>
        <v>0</v>
      </c>
      <c r="O306" s="2" t="n">
        <v>9</v>
      </c>
      <c r="V306" s="15" t="n">
        <f aca="false">PI()*POWER((O306/200),2)</f>
        <v>0.00636172512351933</v>
      </c>
      <c r="W306" s="15" t="n">
        <f aca="false">PI()*POWER((P306/200),2)</f>
        <v>0</v>
      </c>
      <c r="X306" s="15" t="n">
        <f aca="false">PI()*POWER((Q306/200),2)</f>
        <v>0</v>
      </c>
      <c r="Y306" s="15" t="n">
        <f aca="false">PI()*POWER((R306/200),2)</f>
        <v>0</v>
      </c>
      <c r="Z306" s="15" t="n">
        <f aca="false">PI()*POWER((S306/200),2)</f>
        <v>0</v>
      </c>
      <c r="AA306" s="15" t="n">
        <f aca="false">PI()*POWER((T306/200),2)</f>
        <v>0</v>
      </c>
      <c r="AB306" s="15" t="n">
        <f aca="false">PI()*POWER((U306/200),2)</f>
        <v>0</v>
      </c>
    </row>
    <row r="307" customFormat="false" ht="15" hidden="false" customHeight="false" outlineLevel="0" collapsed="false">
      <c r="A307" s="2" t="s">
        <v>20</v>
      </c>
      <c r="B307" s="2" t="n">
        <v>2</v>
      </c>
      <c r="C307" s="9" t="n">
        <v>46264</v>
      </c>
      <c r="D307" s="2" t="n">
        <v>4</v>
      </c>
      <c r="E307" s="2" t="s">
        <v>35</v>
      </c>
      <c r="F307" s="2" t="s">
        <v>36</v>
      </c>
      <c r="G307" s="2" t="s">
        <v>37</v>
      </c>
      <c r="H307" s="2" t="s">
        <v>38</v>
      </c>
      <c r="I307" s="2" t="s">
        <v>39</v>
      </c>
      <c r="J307" s="2" t="n">
        <v>17</v>
      </c>
      <c r="K307" s="32" t="s">
        <v>103</v>
      </c>
      <c r="L307" s="15" t="n">
        <f aca="false">SUM(V307:AB307)</f>
        <v>0.00679290871522453</v>
      </c>
      <c r="M307" s="15" t="n">
        <f aca="false">MAX(O307:U307)</f>
        <v>9.3</v>
      </c>
      <c r="N307" s="15" t="n">
        <f aca="false">COUNTIF(M307,"&gt;9.9")</f>
        <v>0</v>
      </c>
      <c r="O307" s="2" t="n">
        <v>9.3</v>
      </c>
      <c r="V307" s="15" t="n">
        <f aca="false">PI()*POWER((O307/200),2)</f>
        <v>0.00679290871522453</v>
      </c>
      <c r="W307" s="15" t="n">
        <f aca="false">PI()*POWER((P307/200),2)</f>
        <v>0</v>
      </c>
      <c r="X307" s="15" t="n">
        <f aca="false">PI()*POWER((Q307/200),2)</f>
        <v>0</v>
      </c>
      <c r="Y307" s="15" t="n">
        <f aca="false">PI()*POWER((R307/200),2)</f>
        <v>0</v>
      </c>
      <c r="Z307" s="15" t="n">
        <f aca="false">PI()*POWER((S307/200),2)</f>
        <v>0</v>
      </c>
      <c r="AA307" s="15" t="n">
        <f aca="false">PI()*POWER((T307/200),2)</f>
        <v>0</v>
      </c>
      <c r="AB307" s="15" t="n">
        <f aca="false">PI()*POWER((U307/200),2)</f>
        <v>0</v>
      </c>
    </row>
    <row r="308" customFormat="false" ht="15" hidden="false" customHeight="false" outlineLevel="0" collapsed="false">
      <c r="A308" s="2" t="s">
        <v>20</v>
      </c>
      <c r="B308" s="2" t="n">
        <v>2</v>
      </c>
      <c r="C308" s="9" t="n">
        <v>46264</v>
      </c>
      <c r="D308" s="2" t="n">
        <v>4</v>
      </c>
      <c r="E308" s="2" t="s">
        <v>35</v>
      </c>
      <c r="F308" s="2" t="s">
        <v>36</v>
      </c>
      <c r="G308" s="2" t="s">
        <v>37</v>
      </c>
      <c r="H308" s="2" t="s">
        <v>38</v>
      </c>
      <c r="I308" s="2" t="s">
        <v>39</v>
      </c>
      <c r="J308" s="2" t="n">
        <v>6</v>
      </c>
      <c r="K308" s="32" t="s">
        <v>103</v>
      </c>
      <c r="L308" s="15" t="n">
        <f aca="false">SUM(V308:AB308)</f>
        <v>0.00723822947387088</v>
      </c>
      <c r="M308" s="15" t="n">
        <f aca="false">MAX(O308:U308)</f>
        <v>9.6</v>
      </c>
      <c r="N308" s="15" t="n">
        <f aca="false">COUNTIF(M308,"&gt;9.9")</f>
        <v>0</v>
      </c>
      <c r="O308" s="2" t="n">
        <v>9.6</v>
      </c>
      <c r="V308" s="15" t="n">
        <f aca="false">PI()*POWER((O308/200),2)</f>
        <v>0.00723822947387088</v>
      </c>
      <c r="W308" s="15" t="n">
        <f aca="false">PI()*POWER((P308/200),2)</f>
        <v>0</v>
      </c>
      <c r="X308" s="15" t="n">
        <f aca="false">PI()*POWER((Q308/200),2)</f>
        <v>0</v>
      </c>
      <c r="Y308" s="15" t="n">
        <f aca="false">PI()*POWER((R308/200),2)</f>
        <v>0</v>
      </c>
      <c r="Z308" s="15" t="n">
        <f aca="false">PI()*POWER((S308/200),2)</f>
        <v>0</v>
      </c>
      <c r="AA308" s="15" t="n">
        <f aca="false">PI()*POWER((T308/200),2)</f>
        <v>0</v>
      </c>
      <c r="AB308" s="15" t="n">
        <f aca="false">PI()*POWER((U308/200),2)</f>
        <v>0</v>
      </c>
    </row>
    <row r="309" customFormat="false" ht="15" hidden="false" customHeight="false" outlineLevel="0" collapsed="false">
      <c r="A309" s="2" t="s">
        <v>20</v>
      </c>
      <c r="B309" s="2" t="n">
        <v>2</v>
      </c>
      <c r="C309" s="9" t="n">
        <v>46264</v>
      </c>
      <c r="D309" s="2" t="n">
        <v>4</v>
      </c>
      <c r="E309" s="2" t="s">
        <v>35</v>
      </c>
      <c r="F309" s="2" t="s">
        <v>36</v>
      </c>
      <c r="G309" s="2" t="s">
        <v>37</v>
      </c>
      <c r="H309" s="2" t="s">
        <v>38</v>
      </c>
      <c r="I309" s="2" t="s">
        <v>39</v>
      </c>
      <c r="J309" s="2" t="n">
        <v>26</v>
      </c>
      <c r="K309" s="32" t="s">
        <v>103</v>
      </c>
      <c r="L309" s="15" t="n">
        <f aca="false">SUM(V309:AB309)</f>
        <v>0.00754296396126909</v>
      </c>
      <c r="M309" s="15" t="n">
        <f aca="false">MAX(O309:U309)</f>
        <v>9.8</v>
      </c>
      <c r="N309" s="15" t="n">
        <f aca="false">COUNTIF(M309,"&gt;9.9")</f>
        <v>0</v>
      </c>
      <c r="O309" s="2" t="n">
        <v>9.8</v>
      </c>
      <c r="V309" s="15" t="n">
        <f aca="false">PI()*POWER((O309/200),2)</f>
        <v>0.00754296396126909</v>
      </c>
      <c r="W309" s="15" t="n">
        <f aca="false">PI()*POWER((P309/200),2)</f>
        <v>0</v>
      </c>
      <c r="X309" s="15" t="n">
        <f aca="false">PI()*POWER((Q309/200),2)</f>
        <v>0</v>
      </c>
      <c r="Y309" s="15" t="n">
        <f aca="false">PI()*POWER((R309/200),2)</f>
        <v>0</v>
      </c>
      <c r="Z309" s="15" t="n">
        <f aca="false">PI()*POWER((S309/200),2)</f>
        <v>0</v>
      </c>
      <c r="AA309" s="15" t="n">
        <f aca="false">PI()*POWER((T309/200),2)</f>
        <v>0</v>
      </c>
      <c r="AB309" s="15" t="n">
        <f aca="false">PI()*POWER((U309/200),2)</f>
        <v>0</v>
      </c>
    </row>
    <row r="310" customFormat="false" ht="15" hidden="false" customHeight="false" outlineLevel="0" collapsed="false">
      <c r="A310" s="2" t="s">
        <v>20</v>
      </c>
      <c r="B310" s="2" t="n">
        <v>2</v>
      </c>
      <c r="C310" s="9" t="n">
        <v>46264</v>
      </c>
      <c r="D310" s="2" t="n">
        <v>4</v>
      </c>
      <c r="E310" s="2" t="s">
        <v>35</v>
      </c>
      <c r="F310" s="2" t="s">
        <v>36</v>
      </c>
      <c r="G310" s="2" t="s">
        <v>37</v>
      </c>
      <c r="H310" s="2" t="s">
        <v>38</v>
      </c>
      <c r="I310" s="2" t="s">
        <v>39</v>
      </c>
      <c r="J310" s="2" t="n">
        <v>7</v>
      </c>
      <c r="K310" s="32" t="s">
        <v>103</v>
      </c>
      <c r="L310" s="15" t="n">
        <f aca="false">SUM(V310:AB310)</f>
        <v>0.00882473376393373</v>
      </c>
      <c r="M310" s="15" t="n">
        <f aca="false">MAX(O310:U310)</f>
        <v>10.6</v>
      </c>
      <c r="N310" s="15" t="n">
        <f aca="false">COUNTIF(M310,"&gt;9.9")</f>
        <v>1</v>
      </c>
      <c r="O310" s="2" t="n">
        <v>10.6</v>
      </c>
      <c r="V310" s="15" t="n">
        <f aca="false">PI()*POWER((O310/200),2)</f>
        <v>0.00882473376393373</v>
      </c>
      <c r="W310" s="15" t="n">
        <f aca="false">PI()*POWER((P310/200),2)</f>
        <v>0</v>
      </c>
      <c r="X310" s="15" t="n">
        <f aca="false">PI()*POWER((Q310/200),2)</f>
        <v>0</v>
      </c>
      <c r="Y310" s="15" t="n">
        <f aca="false">PI()*POWER((R310/200),2)</f>
        <v>0</v>
      </c>
      <c r="Z310" s="15" t="n">
        <f aca="false">PI()*POWER((S310/200),2)</f>
        <v>0</v>
      </c>
      <c r="AA310" s="15" t="n">
        <f aca="false">PI()*POWER((T310/200),2)</f>
        <v>0</v>
      </c>
      <c r="AB310" s="15" t="n">
        <f aca="false">PI()*POWER((U310/200),2)</f>
        <v>0</v>
      </c>
    </row>
    <row r="311" customFormat="false" ht="15" hidden="false" customHeight="false" outlineLevel="0" collapsed="false">
      <c r="A311" s="2" t="s">
        <v>20</v>
      </c>
      <c r="B311" s="2" t="n">
        <v>2</v>
      </c>
      <c r="C311" s="9" t="n">
        <v>46264</v>
      </c>
      <c r="D311" s="2" t="n">
        <v>4</v>
      </c>
      <c r="E311" s="2" t="s">
        <v>35</v>
      </c>
      <c r="F311" s="2" t="s">
        <v>36</v>
      </c>
      <c r="G311" s="2" t="s">
        <v>37</v>
      </c>
      <c r="H311" s="2" t="s">
        <v>38</v>
      </c>
      <c r="I311" s="2" t="s">
        <v>39</v>
      </c>
      <c r="J311" s="2" t="n">
        <v>1</v>
      </c>
      <c r="K311" s="32" t="s">
        <v>103</v>
      </c>
      <c r="L311" s="15" t="n">
        <f aca="false">SUM(V311:AB311)</f>
        <v>0.00916088417786784</v>
      </c>
      <c r="M311" s="15" t="n">
        <f aca="false">MAX(O311:U311)</f>
        <v>10.8</v>
      </c>
      <c r="N311" s="15" t="n">
        <f aca="false">COUNTIF(M311,"&gt;9.9")</f>
        <v>1</v>
      </c>
      <c r="O311" s="2" t="n">
        <v>10.8</v>
      </c>
      <c r="V311" s="15" t="n">
        <f aca="false">PI()*POWER((O311/200),2)</f>
        <v>0.00916088417786784</v>
      </c>
      <c r="W311" s="15" t="n">
        <f aca="false">PI()*POWER((P311/200),2)</f>
        <v>0</v>
      </c>
      <c r="X311" s="15" t="n">
        <f aca="false">PI()*POWER((Q311/200),2)</f>
        <v>0</v>
      </c>
      <c r="Y311" s="15" t="n">
        <f aca="false">PI()*POWER((R311/200),2)</f>
        <v>0</v>
      </c>
      <c r="Z311" s="15" t="n">
        <f aca="false">PI()*POWER((S311/200),2)</f>
        <v>0</v>
      </c>
      <c r="AA311" s="15" t="n">
        <f aca="false">PI()*POWER((T311/200),2)</f>
        <v>0</v>
      </c>
      <c r="AB311" s="15" t="n">
        <f aca="false">PI()*POWER((U311/200),2)</f>
        <v>0</v>
      </c>
    </row>
    <row r="312" customFormat="false" ht="15" hidden="false" customHeight="false" outlineLevel="0" collapsed="false">
      <c r="A312" s="2" t="s">
        <v>20</v>
      </c>
      <c r="B312" s="2" t="n">
        <v>2</v>
      </c>
      <c r="C312" s="9" t="n">
        <v>46264</v>
      </c>
      <c r="D312" s="2" t="n">
        <v>4</v>
      </c>
      <c r="E312" s="2" t="s">
        <v>35</v>
      </c>
      <c r="F312" s="2" t="s">
        <v>36</v>
      </c>
      <c r="G312" s="2" t="s">
        <v>37</v>
      </c>
      <c r="H312" s="2" t="s">
        <v>38</v>
      </c>
      <c r="I312" s="2" t="s">
        <v>39</v>
      </c>
      <c r="J312" s="2" t="n">
        <v>32</v>
      </c>
      <c r="K312" s="32" t="s">
        <v>103</v>
      </c>
      <c r="L312" s="15" t="n">
        <f aca="false">SUM(V312:AB312)</f>
        <v>0.0132732289614169</v>
      </c>
      <c r="M312" s="15" t="n">
        <f aca="false">MAX(O312:U312)</f>
        <v>13</v>
      </c>
      <c r="N312" s="15" t="n">
        <f aca="false">COUNTIF(M312,"&gt;9.9")</f>
        <v>1</v>
      </c>
      <c r="O312" s="2" t="n">
        <v>13</v>
      </c>
      <c r="V312" s="15" t="n">
        <f aca="false">PI()*POWER((O312/200),2)</f>
        <v>0.0132732289614169</v>
      </c>
      <c r="W312" s="15" t="n">
        <f aca="false">PI()*POWER((P312/200),2)</f>
        <v>0</v>
      </c>
      <c r="X312" s="15" t="n">
        <f aca="false">PI()*POWER((Q312/200),2)</f>
        <v>0</v>
      </c>
      <c r="Y312" s="15" t="n">
        <f aca="false">PI()*POWER((R312/200),2)</f>
        <v>0</v>
      </c>
      <c r="Z312" s="15" t="n">
        <f aca="false">PI()*POWER((S312/200),2)</f>
        <v>0</v>
      </c>
      <c r="AA312" s="15" t="n">
        <f aca="false">PI()*POWER((T312/200),2)</f>
        <v>0</v>
      </c>
      <c r="AB312" s="15" t="n">
        <f aca="false">PI()*POWER((U312/200),2)</f>
        <v>0</v>
      </c>
    </row>
    <row r="313" customFormat="false" ht="15" hidden="false" customHeight="false" outlineLevel="0" collapsed="false">
      <c r="A313" s="2" t="s">
        <v>20</v>
      </c>
      <c r="B313" s="2" t="n">
        <v>2</v>
      </c>
      <c r="C313" s="9" t="n">
        <v>46264</v>
      </c>
      <c r="D313" s="2" t="n">
        <v>4</v>
      </c>
      <c r="E313" s="2" t="s">
        <v>35</v>
      </c>
      <c r="F313" s="2" t="s">
        <v>36</v>
      </c>
      <c r="G313" s="2" t="s">
        <v>37</v>
      </c>
      <c r="H313" s="2" t="s">
        <v>38</v>
      </c>
      <c r="I313" s="2" t="s">
        <v>39</v>
      </c>
      <c r="J313" s="2" t="n">
        <v>43</v>
      </c>
      <c r="K313" s="32" t="s">
        <v>103</v>
      </c>
      <c r="L313" s="15" t="n">
        <f aca="false">SUM(V313:AB313)</f>
        <v>0.0185762373606765</v>
      </c>
      <c r="M313" s="15" t="n">
        <f aca="false">MAX(O313:U313)</f>
        <v>14.4</v>
      </c>
      <c r="N313" s="15" t="n">
        <f aca="false">COUNTIF(M313,"&gt;9.9")</f>
        <v>1</v>
      </c>
      <c r="O313" s="2" t="n">
        <v>14.4</v>
      </c>
      <c r="P313" s="2" t="n">
        <v>5.4</v>
      </c>
      <c r="V313" s="15" t="n">
        <f aca="false">PI()*POWER((O313/200),2)</f>
        <v>0.0162860163162095</v>
      </c>
      <c r="W313" s="15" t="n">
        <f aca="false">PI()*POWER((P313/200),2)</f>
        <v>0.00229022104446696</v>
      </c>
      <c r="X313" s="15" t="n">
        <f aca="false">PI()*POWER((Q313/200),2)</f>
        <v>0</v>
      </c>
      <c r="Y313" s="15" t="n">
        <f aca="false">PI()*POWER((R313/200),2)</f>
        <v>0</v>
      </c>
      <c r="Z313" s="15" t="n">
        <f aca="false">PI()*POWER((S313/200),2)</f>
        <v>0</v>
      </c>
      <c r="AA313" s="15" t="n">
        <f aca="false">PI()*POWER((T313/200),2)</f>
        <v>0</v>
      </c>
      <c r="AB313" s="15" t="n">
        <f aca="false">PI()*POWER((U313/200),2)</f>
        <v>0</v>
      </c>
    </row>
    <row r="314" customFormat="false" ht="15" hidden="false" customHeight="false" outlineLevel="0" collapsed="false">
      <c r="A314" s="2" t="s">
        <v>20</v>
      </c>
      <c r="B314" s="2" t="n">
        <v>2</v>
      </c>
      <c r="C314" s="9" t="n">
        <v>46264</v>
      </c>
      <c r="D314" s="2" t="n">
        <v>4</v>
      </c>
      <c r="E314" s="2" t="s">
        <v>35</v>
      </c>
      <c r="F314" s="2" t="s">
        <v>36</v>
      </c>
      <c r="G314" s="2" t="s">
        <v>37</v>
      </c>
      <c r="H314" s="2" t="s">
        <v>38</v>
      </c>
      <c r="I314" s="2" t="s">
        <v>39</v>
      </c>
      <c r="J314" s="2" t="n">
        <v>11</v>
      </c>
      <c r="K314" s="32" t="s">
        <v>103</v>
      </c>
      <c r="L314" s="15" t="n">
        <f aca="false">SUM(V314:AB314)</f>
        <v>0.0206119894002026</v>
      </c>
      <c r="M314" s="15" t="n">
        <f aca="false">MAX(O314:U314)</f>
        <v>16.2</v>
      </c>
      <c r="N314" s="15" t="n">
        <f aca="false">COUNTIF(M314,"&gt;9.9")</f>
        <v>1</v>
      </c>
      <c r="O314" s="2" t="n">
        <v>16.2</v>
      </c>
      <c r="V314" s="15" t="n">
        <f aca="false">PI()*POWER((O314/200),2)</f>
        <v>0.0206119894002026</v>
      </c>
      <c r="W314" s="15" t="n">
        <f aca="false">PI()*POWER((P314/200),2)</f>
        <v>0</v>
      </c>
      <c r="X314" s="15" t="n">
        <f aca="false">PI()*POWER((Q314/200),2)</f>
        <v>0</v>
      </c>
      <c r="Y314" s="15" t="n">
        <f aca="false">PI()*POWER((R314/200),2)</f>
        <v>0</v>
      </c>
      <c r="Z314" s="15" t="n">
        <f aca="false">PI()*POWER((S314/200),2)</f>
        <v>0</v>
      </c>
      <c r="AA314" s="15" t="n">
        <f aca="false">PI()*POWER((T314/200),2)</f>
        <v>0</v>
      </c>
      <c r="AB314" s="15" t="n">
        <f aca="false">PI()*POWER((U314/200),2)</f>
        <v>0</v>
      </c>
    </row>
    <row r="315" customFormat="false" ht="15" hidden="false" customHeight="false" outlineLevel="0" collapsed="false">
      <c r="A315" s="2" t="s">
        <v>20</v>
      </c>
      <c r="B315" s="2" t="n">
        <v>2</v>
      </c>
      <c r="C315" s="9" t="n">
        <v>46264</v>
      </c>
      <c r="D315" s="2" t="n">
        <v>4</v>
      </c>
      <c r="E315" s="2" t="s">
        <v>35</v>
      </c>
      <c r="F315" s="2" t="s">
        <v>36</v>
      </c>
      <c r="G315" s="2" t="s">
        <v>37</v>
      </c>
      <c r="H315" s="2" t="s">
        <v>38</v>
      </c>
      <c r="I315" s="2" t="s">
        <v>39</v>
      </c>
      <c r="J315" s="2" t="n">
        <v>16</v>
      </c>
      <c r="K315" s="32" t="s">
        <v>103</v>
      </c>
      <c r="L315" s="15" t="n">
        <f aca="false">SUM(V315:AB315)</f>
        <v>0.0213824649984955</v>
      </c>
      <c r="M315" s="15" t="n">
        <f aca="false">MAX(O315:U315)</f>
        <v>16.5</v>
      </c>
      <c r="N315" s="15" t="n">
        <f aca="false">COUNTIF(M315,"&gt;9.9")</f>
        <v>1</v>
      </c>
      <c r="O315" s="2" t="n">
        <v>16.5</v>
      </c>
      <c r="V315" s="15" t="n">
        <f aca="false">PI()*POWER((O315/200),2)</f>
        <v>0.0213824649984955</v>
      </c>
      <c r="W315" s="15" t="n">
        <f aca="false">PI()*POWER((P315/200),2)</f>
        <v>0</v>
      </c>
      <c r="X315" s="15" t="n">
        <f aca="false">PI()*POWER((Q315/200),2)</f>
        <v>0</v>
      </c>
      <c r="Y315" s="15" t="n">
        <f aca="false">PI()*POWER((R315/200),2)</f>
        <v>0</v>
      </c>
      <c r="Z315" s="15" t="n">
        <f aca="false">PI()*POWER((S315/200),2)</f>
        <v>0</v>
      </c>
      <c r="AA315" s="15" t="n">
        <f aca="false">PI()*POWER((T315/200),2)</f>
        <v>0</v>
      </c>
      <c r="AB315" s="15" t="n">
        <f aca="false">PI()*POWER((U315/200),2)</f>
        <v>0</v>
      </c>
    </row>
    <row r="316" customFormat="false" ht="15" hidden="false" customHeight="false" outlineLevel="0" collapsed="false">
      <c r="A316" s="2" t="s">
        <v>20</v>
      </c>
      <c r="B316" s="2" t="n">
        <v>2</v>
      </c>
      <c r="C316" s="9" t="n">
        <v>46264</v>
      </c>
      <c r="D316" s="2" t="n">
        <v>4</v>
      </c>
      <c r="E316" s="2" t="s">
        <v>35</v>
      </c>
      <c r="F316" s="2" t="s">
        <v>36</v>
      </c>
      <c r="G316" s="2" t="s">
        <v>37</v>
      </c>
      <c r="H316" s="2" t="s">
        <v>38</v>
      </c>
      <c r="I316" s="2" t="s">
        <v>39</v>
      </c>
      <c r="J316" s="2" t="n">
        <v>22</v>
      </c>
      <c r="K316" s="32" t="s">
        <v>103</v>
      </c>
      <c r="L316" s="15" t="n">
        <f aca="false">SUM(V316:AB316)</f>
        <v>0.0320473866592695</v>
      </c>
      <c r="M316" s="15" t="n">
        <f aca="false">MAX(O316:U316)</f>
        <v>20.2</v>
      </c>
      <c r="N316" s="15" t="n">
        <f aca="false">COUNTIF(M316,"&gt;9.9")</f>
        <v>1</v>
      </c>
      <c r="O316" s="2" t="n">
        <v>20.2</v>
      </c>
      <c r="V316" s="15" t="n">
        <f aca="false">PI()*POWER((O316/200),2)</f>
        <v>0.0320473866592695</v>
      </c>
      <c r="W316" s="15" t="n">
        <f aca="false">PI()*POWER((P316/200),2)</f>
        <v>0</v>
      </c>
      <c r="X316" s="15" t="n">
        <f aca="false">PI()*POWER((Q316/200),2)</f>
        <v>0</v>
      </c>
      <c r="Y316" s="15" t="n">
        <f aca="false">PI()*POWER((R316/200),2)</f>
        <v>0</v>
      </c>
      <c r="Z316" s="15" t="n">
        <f aca="false">PI()*POWER((S316/200),2)</f>
        <v>0</v>
      </c>
      <c r="AA316" s="15" t="n">
        <f aca="false">PI()*POWER((T316/200),2)</f>
        <v>0</v>
      </c>
      <c r="AB316" s="15" t="n">
        <f aca="false">PI()*POWER((U316/200),2)</f>
        <v>0</v>
      </c>
    </row>
    <row r="317" customFormat="false" ht="15" hidden="false" customHeight="false" outlineLevel="0" collapsed="false">
      <c r="A317" s="2" t="s">
        <v>20</v>
      </c>
      <c r="B317" s="2" t="n">
        <v>2</v>
      </c>
      <c r="C317" s="9" t="n">
        <v>46264</v>
      </c>
      <c r="D317" s="2" t="n">
        <v>4</v>
      </c>
      <c r="E317" s="2" t="s">
        <v>35</v>
      </c>
      <c r="F317" s="2" t="s">
        <v>36</v>
      </c>
      <c r="G317" s="2" t="s">
        <v>37</v>
      </c>
      <c r="H317" s="2" t="s">
        <v>38</v>
      </c>
      <c r="I317" s="2" t="s">
        <v>39</v>
      </c>
      <c r="J317" s="2" t="n">
        <v>23</v>
      </c>
      <c r="K317" s="32" t="s">
        <v>103</v>
      </c>
      <c r="L317" s="15" t="n">
        <f aca="false">SUM(V317:AB317)</f>
        <v>0.0349667116326178</v>
      </c>
      <c r="M317" s="15" t="n">
        <f aca="false">MAX(O317:U317)</f>
        <v>21.1</v>
      </c>
      <c r="N317" s="15" t="n">
        <f aca="false">COUNTIF(M317,"&gt;9.9")</f>
        <v>1</v>
      </c>
      <c r="O317" s="2" t="n">
        <v>21.1</v>
      </c>
      <c r="V317" s="15" t="n">
        <f aca="false">PI()*POWER((O317/200),2)</f>
        <v>0.0349667116326178</v>
      </c>
      <c r="W317" s="15" t="n">
        <f aca="false">PI()*POWER((P317/200),2)</f>
        <v>0</v>
      </c>
      <c r="X317" s="15" t="n">
        <f aca="false">PI()*POWER((Q317/200),2)</f>
        <v>0</v>
      </c>
      <c r="Y317" s="15" t="n">
        <f aca="false">PI()*POWER((R317/200),2)</f>
        <v>0</v>
      </c>
      <c r="Z317" s="15" t="n">
        <f aca="false">PI()*POWER((S317/200),2)</f>
        <v>0</v>
      </c>
      <c r="AA317" s="15" t="n">
        <f aca="false">PI()*POWER((T317/200),2)</f>
        <v>0</v>
      </c>
      <c r="AB317" s="15" t="n">
        <f aca="false">PI()*POWER((U317/200),2)</f>
        <v>0</v>
      </c>
    </row>
    <row r="318" customFormat="false" ht="15" hidden="false" customHeight="false" outlineLevel="0" collapsed="false">
      <c r="A318" s="2" t="s">
        <v>20</v>
      </c>
      <c r="B318" s="2" t="n">
        <v>2</v>
      </c>
      <c r="C318" s="9" t="n">
        <v>46264</v>
      </c>
      <c r="D318" s="2" t="n">
        <v>4</v>
      </c>
      <c r="E318" s="2" t="s">
        <v>35</v>
      </c>
      <c r="F318" s="2" t="s">
        <v>36</v>
      </c>
      <c r="G318" s="2" t="s">
        <v>37</v>
      </c>
      <c r="H318" s="2" t="s">
        <v>38</v>
      </c>
      <c r="I318" s="2" t="s">
        <v>39</v>
      </c>
      <c r="J318" s="2" t="n">
        <v>8</v>
      </c>
      <c r="K318" s="32" t="s">
        <v>103</v>
      </c>
      <c r="L318" s="15" t="n">
        <f aca="false">SUM(V318:AB318)</f>
        <v>0.0521661460128585</v>
      </c>
      <c r="M318" s="15" t="n">
        <f aca="false">MAX(O318:U318)</f>
        <v>25.2</v>
      </c>
      <c r="N318" s="15" t="n">
        <f aca="false">COUNTIF(M318,"&gt;9.9")</f>
        <v>1</v>
      </c>
      <c r="O318" s="2" t="n">
        <v>25.2</v>
      </c>
      <c r="P318" s="2" t="n">
        <v>5.4</v>
      </c>
      <c r="V318" s="15" t="n">
        <f aca="false">PI()*POWER((O318/200),2)</f>
        <v>0.0498759249683916</v>
      </c>
      <c r="W318" s="15" t="n">
        <f aca="false">PI()*POWER((P318/200),2)</f>
        <v>0.00229022104446696</v>
      </c>
      <c r="X318" s="15" t="n">
        <f aca="false">PI()*POWER((Q318/200),2)</f>
        <v>0</v>
      </c>
      <c r="Y318" s="15" t="n">
        <f aca="false">PI()*POWER((R318/200),2)</f>
        <v>0</v>
      </c>
      <c r="Z318" s="15" t="n">
        <f aca="false">PI()*POWER((S318/200),2)</f>
        <v>0</v>
      </c>
      <c r="AA318" s="15" t="n">
        <f aca="false">PI()*POWER((T318/200),2)</f>
        <v>0</v>
      </c>
      <c r="AB318" s="15" t="n">
        <f aca="false">PI()*POWER((U318/200),2)</f>
        <v>0</v>
      </c>
    </row>
    <row r="319" customFormat="false" ht="15" hidden="false" customHeight="false" outlineLevel="0" collapsed="false">
      <c r="A319" s="2" t="s">
        <v>20</v>
      </c>
      <c r="B319" s="2" t="n">
        <v>2</v>
      </c>
      <c r="C319" s="9" t="n">
        <v>46264</v>
      </c>
      <c r="D319" s="2" t="n">
        <v>4</v>
      </c>
      <c r="E319" s="2" t="s">
        <v>35</v>
      </c>
      <c r="F319" s="2" t="s">
        <v>36</v>
      </c>
      <c r="G319" s="2" t="s">
        <v>37</v>
      </c>
      <c r="H319" s="2" t="s">
        <v>38</v>
      </c>
      <c r="I319" s="2" t="s">
        <v>39</v>
      </c>
      <c r="J319" s="2" t="n">
        <v>27</v>
      </c>
      <c r="K319" s="32" t="s">
        <v>103</v>
      </c>
      <c r="L319" s="15" t="n">
        <f aca="false">SUM(V319:AB319)</f>
        <v>0.0514718540364152</v>
      </c>
      <c r="M319" s="15" t="n">
        <f aca="false">MAX(O319:U319)</f>
        <v>25.6</v>
      </c>
      <c r="N319" s="15" t="n">
        <f aca="false">COUNTIF(M319,"&gt;9.9")</f>
        <v>1</v>
      </c>
      <c r="O319" s="2" t="n">
        <v>25.6</v>
      </c>
      <c r="V319" s="15" t="n">
        <f aca="false">PI()*POWER((O319/200),2)</f>
        <v>0.0514718540364152</v>
      </c>
      <c r="W319" s="15" t="n">
        <f aca="false">PI()*POWER((P319/200),2)</f>
        <v>0</v>
      </c>
      <c r="X319" s="15" t="n">
        <f aca="false">PI()*POWER((Q319/200),2)</f>
        <v>0</v>
      </c>
      <c r="Y319" s="15" t="n">
        <f aca="false">PI()*POWER((R319/200),2)</f>
        <v>0</v>
      </c>
      <c r="Z319" s="15" t="n">
        <f aca="false">PI()*POWER((S319/200),2)</f>
        <v>0</v>
      </c>
      <c r="AA319" s="15" t="n">
        <f aca="false">PI()*POWER((T319/200),2)</f>
        <v>0</v>
      </c>
      <c r="AB319" s="15" t="n">
        <f aca="false">PI()*POWER((U319/200),2)</f>
        <v>0</v>
      </c>
    </row>
    <row r="320" customFormat="false" ht="15" hidden="false" customHeight="false" outlineLevel="0" collapsed="false">
      <c r="A320" s="2" t="s">
        <v>20</v>
      </c>
      <c r="B320" s="2" t="n">
        <v>2</v>
      </c>
      <c r="C320" s="9" t="n">
        <v>46264</v>
      </c>
      <c r="D320" s="2" t="n">
        <v>4</v>
      </c>
      <c r="E320" s="2" t="s">
        <v>35</v>
      </c>
      <c r="F320" s="2" t="s">
        <v>36</v>
      </c>
      <c r="G320" s="2" t="s">
        <v>37</v>
      </c>
      <c r="H320" s="2" t="s">
        <v>38</v>
      </c>
      <c r="I320" s="2" t="s">
        <v>39</v>
      </c>
      <c r="J320" s="2" t="n">
        <v>37</v>
      </c>
      <c r="K320" s="32" t="s">
        <v>103</v>
      </c>
      <c r="L320" s="15" t="n">
        <f aca="false">SUM(V320:AB320)</f>
        <v>0.141862543263664</v>
      </c>
      <c r="M320" s="15" t="n">
        <f aca="false">MAX(O320:U320)</f>
        <v>42.5</v>
      </c>
      <c r="N320" s="15" t="n">
        <f aca="false">COUNTIF(M320,"&gt;9.9")</f>
        <v>1</v>
      </c>
      <c r="O320" s="2" t="n">
        <v>42.5</v>
      </c>
      <c r="V320" s="15" t="n">
        <f aca="false">PI()*POWER((O320/200),2)</f>
        <v>0.141862543263664</v>
      </c>
      <c r="W320" s="15" t="n">
        <f aca="false">PI()*POWER((P320/200),2)</f>
        <v>0</v>
      </c>
      <c r="X320" s="15" t="n">
        <f aca="false">PI()*POWER((Q320/200),2)</f>
        <v>0</v>
      </c>
      <c r="Y320" s="15" t="n">
        <f aca="false">PI()*POWER((R320/200),2)</f>
        <v>0</v>
      </c>
      <c r="Z320" s="15" t="n">
        <f aca="false">PI()*POWER((S320/200),2)</f>
        <v>0</v>
      </c>
      <c r="AA320" s="15" t="n">
        <f aca="false">PI()*POWER((T320/200),2)</f>
        <v>0</v>
      </c>
      <c r="AB320" s="15" t="n">
        <f aca="false">PI()*POWER((U320/200),2)</f>
        <v>0</v>
      </c>
    </row>
    <row r="321" customFormat="false" ht="15" hidden="false" customHeight="false" outlineLevel="0" collapsed="false">
      <c r="A321" s="2" t="s">
        <v>20</v>
      </c>
      <c r="B321" s="2" t="n">
        <v>2</v>
      </c>
      <c r="C321" s="9" t="n">
        <v>46264</v>
      </c>
      <c r="D321" s="2" t="n">
        <v>4</v>
      </c>
      <c r="E321" s="2" t="s">
        <v>35</v>
      </c>
      <c r="F321" s="2" t="s">
        <v>36</v>
      </c>
      <c r="G321" s="2" t="s">
        <v>37</v>
      </c>
      <c r="H321" s="2" t="s">
        <v>38</v>
      </c>
      <c r="I321" s="2" t="s">
        <v>39</v>
      </c>
      <c r="J321" s="2" t="n">
        <v>57</v>
      </c>
      <c r="K321" s="32" t="s">
        <v>142</v>
      </c>
      <c r="L321" s="15" t="n">
        <f aca="false">SUM(V321:AB321)</f>
        <v>0.116415642769587</v>
      </c>
      <c r="M321" s="15" t="n">
        <f aca="false">MAX(O321:U321)</f>
        <v>38.5</v>
      </c>
      <c r="N321" s="15" t="n">
        <f aca="false">COUNTIF(M321,"&gt;9.9")</f>
        <v>1</v>
      </c>
      <c r="O321" s="2" t="n">
        <v>38.5</v>
      </c>
      <c r="V321" s="15" t="n">
        <f aca="false">PI()*POWER((O321/200),2)</f>
        <v>0.116415642769587</v>
      </c>
      <c r="W321" s="15" t="n">
        <f aca="false">PI()*POWER((P321/200),2)</f>
        <v>0</v>
      </c>
      <c r="X321" s="15" t="n">
        <f aca="false">PI()*POWER((Q321/200),2)</f>
        <v>0</v>
      </c>
      <c r="Y321" s="15" t="n">
        <f aca="false">PI()*POWER((R321/200),2)</f>
        <v>0</v>
      </c>
      <c r="Z321" s="15" t="n">
        <f aca="false">PI()*POWER((S321/200),2)</f>
        <v>0</v>
      </c>
      <c r="AA321" s="15" t="n">
        <f aca="false">PI()*POWER((T321/200),2)</f>
        <v>0</v>
      </c>
      <c r="AB321" s="15" t="n">
        <f aca="false">PI()*POWER((U321/200),2)</f>
        <v>0</v>
      </c>
    </row>
    <row r="322" customFormat="false" ht="15" hidden="false" customHeight="false" outlineLevel="0" collapsed="false">
      <c r="A322" s="2" t="s">
        <v>20</v>
      </c>
      <c r="B322" s="2" t="n">
        <v>2</v>
      </c>
      <c r="C322" s="9" t="n">
        <v>46264</v>
      </c>
      <c r="D322" s="2" t="n">
        <v>4</v>
      </c>
      <c r="E322" s="2" t="s">
        <v>35</v>
      </c>
      <c r="F322" s="2" t="s">
        <v>36</v>
      </c>
      <c r="G322" s="2" t="s">
        <v>37</v>
      </c>
      <c r="H322" s="2" t="s">
        <v>38</v>
      </c>
      <c r="I322" s="2" t="s">
        <v>39</v>
      </c>
      <c r="J322" s="2" t="n">
        <v>56</v>
      </c>
      <c r="K322" s="32" t="s">
        <v>142</v>
      </c>
      <c r="L322" s="15" t="n">
        <f aca="false">SUM(V322:AB322)</f>
        <v>0.166913603083389</v>
      </c>
      <c r="M322" s="15" t="n">
        <f aca="false">MAX(O322:U322)</f>
        <v>46.1</v>
      </c>
      <c r="N322" s="15" t="n">
        <f aca="false">COUNTIF(M322,"&gt;9.9")</f>
        <v>1</v>
      </c>
      <c r="O322" s="2" t="n">
        <v>46.1</v>
      </c>
      <c r="V322" s="15" t="n">
        <f aca="false">PI()*POWER((O322/200),2)</f>
        <v>0.166913603083389</v>
      </c>
      <c r="W322" s="15" t="n">
        <f aca="false">PI()*POWER((P322/200),2)</f>
        <v>0</v>
      </c>
      <c r="X322" s="15" t="n">
        <f aca="false">PI()*POWER((Q322/200),2)</f>
        <v>0</v>
      </c>
      <c r="Y322" s="15" t="n">
        <f aca="false">PI()*POWER((R322/200),2)</f>
        <v>0</v>
      </c>
      <c r="Z322" s="15" t="n">
        <f aca="false">PI()*POWER((S322/200),2)</f>
        <v>0</v>
      </c>
      <c r="AA322" s="15" t="n">
        <f aca="false">PI()*POWER((T322/200),2)</f>
        <v>0</v>
      </c>
      <c r="AB322" s="15" t="n">
        <f aca="false">PI()*POWER((U322/200),2)</f>
        <v>0</v>
      </c>
    </row>
    <row r="323" customFormat="false" ht="15" hidden="false" customHeight="false" outlineLevel="0" collapsed="false">
      <c r="A323" s="2" t="s">
        <v>20</v>
      </c>
      <c r="B323" s="2" t="n">
        <v>2</v>
      </c>
      <c r="C323" s="9" t="n">
        <v>46264</v>
      </c>
      <c r="D323" s="2" t="n">
        <v>4</v>
      </c>
      <c r="E323" s="2" t="s">
        <v>35</v>
      </c>
      <c r="F323" s="2" t="s">
        <v>36</v>
      </c>
      <c r="G323" s="2" t="s">
        <v>37</v>
      </c>
      <c r="H323" s="2" t="s">
        <v>38</v>
      </c>
      <c r="I323" s="2" t="s">
        <v>39</v>
      </c>
      <c r="J323" s="2" t="n">
        <v>58</v>
      </c>
      <c r="K323" s="32" t="s">
        <v>142</v>
      </c>
      <c r="L323" s="15" t="n">
        <f aca="false">SUM(V323:AB323)</f>
        <v>0.548911634805823</v>
      </c>
      <c r="M323" s="15" t="n">
        <f aca="false">MAX(O323:U323)</f>
        <v>83.6</v>
      </c>
      <c r="N323" s="15" t="n">
        <f aca="false">COUNTIF(M323,"&gt;9.9")</f>
        <v>1</v>
      </c>
      <c r="O323" s="2" t="n">
        <v>83.6</v>
      </c>
      <c r="V323" s="15" t="n">
        <f aca="false">PI()*POWER((O323/200),2)</f>
        <v>0.548911634805823</v>
      </c>
      <c r="W323" s="15" t="n">
        <f aca="false">PI()*POWER((P323/200),2)</f>
        <v>0</v>
      </c>
      <c r="X323" s="15" t="n">
        <f aca="false">PI()*POWER((Q323/200),2)</f>
        <v>0</v>
      </c>
      <c r="Y323" s="15" t="n">
        <f aca="false">PI()*POWER((R323/200),2)</f>
        <v>0</v>
      </c>
      <c r="Z323" s="15" t="n">
        <f aca="false">PI()*POWER((S323/200),2)</f>
        <v>0</v>
      </c>
      <c r="AA323" s="15" t="n">
        <f aca="false">PI()*POWER((T323/200),2)</f>
        <v>0</v>
      </c>
      <c r="AB323" s="15" t="n">
        <f aca="false">PI()*POWER((U323/200),2)</f>
        <v>0</v>
      </c>
    </row>
    <row r="324" customFormat="false" ht="15" hidden="false" customHeight="false" outlineLevel="0" collapsed="false">
      <c r="A324" s="2" t="s">
        <v>20</v>
      </c>
      <c r="B324" s="2" t="n">
        <v>2</v>
      </c>
      <c r="C324" s="9" t="n">
        <v>46264</v>
      </c>
      <c r="D324" s="2" t="n">
        <v>4</v>
      </c>
      <c r="E324" s="2" t="s">
        <v>35</v>
      </c>
      <c r="F324" s="2" t="s">
        <v>36</v>
      </c>
      <c r="G324" s="2" t="s">
        <v>37</v>
      </c>
      <c r="H324" s="2" t="s">
        <v>38</v>
      </c>
      <c r="I324" s="2" t="s">
        <v>39</v>
      </c>
      <c r="J324" s="2" t="n">
        <v>59</v>
      </c>
      <c r="K324" s="32" t="s">
        <v>144</v>
      </c>
      <c r="L324" s="15" t="n">
        <f aca="false">SUM(V324:AB324)</f>
        <v>0.000201061929829747</v>
      </c>
      <c r="M324" s="15" t="n">
        <f aca="false">MAX(O324:U324)</f>
        <v>1.6</v>
      </c>
      <c r="N324" s="15" t="n">
        <f aca="false">COUNTIF(M324,"&gt;9.9")</f>
        <v>0</v>
      </c>
      <c r="O324" s="2" t="n">
        <v>1.6</v>
      </c>
      <c r="V324" s="15" t="n">
        <f aca="false">PI()*POWER((O324/200),2)</f>
        <v>0.000201061929829747</v>
      </c>
      <c r="W324" s="15" t="n">
        <f aca="false">PI()*POWER((P324/200),2)</f>
        <v>0</v>
      </c>
      <c r="X324" s="15" t="n">
        <f aca="false">PI()*POWER((Q324/200),2)</f>
        <v>0</v>
      </c>
      <c r="Y324" s="15" t="n">
        <f aca="false">PI()*POWER((R324/200),2)</f>
        <v>0</v>
      </c>
      <c r="Z324" s="15" t="n">
        <f aca="false">PI()*POWER((S324/200),2)</f>
        <v>0</v>
      </c>
      <c r="AA324" s="15" t="n">
        <f aca="false">PI()*POWER((T324/200),2)</f>
        <v>0</v>
      </c>
      <c r="AB324" s="15" t="n">
        <f aca="false">PI()*POWER((U324/200),2)</f>
        <v>0</v>
      </c>
    </row>
    <row r="325" customFormat="false" ht="15" hidden="false" customHeight="false" outlineLevel="0" collapsed="false">
      <c r="A325" s="2" t="s">
        <v>20</v>
      </c>
      <c r="B325" s="2" t="n">
        <v>2</v>
      </c>
      <c r="C325" s="9" t="n">
        <v>46264</v>
      </c>
      <c r="D325" s="2" t="n">
        <v>4</v>
      </c>
      <c r="E325" s="2" t="s">
        <v>35</v>
      </c>
      <c r="F325" s="2" t="s">
        <v>36</v>
      </c>
      <c r="G325" s="2" t="s">
        <v>37</v>
      </c>
      <c r="H325" s="2" t="s">
        <v>38</v>
      </c>
      <c r="I325" s="2" t="s">
        <v>39</v>
      </c>
      <c r="J325" s="2" t="n">
        <v>60</v>
      </c>
      <c r="K325" s="32" t="s">
        <v>144</v>
      </c>
      <c r="L325" s="15" t="n">
        <f aca="false">SUM(V325:AB325)</f>
        <v>0.000346360590058275</v>
      </c>
      <c r="M325" s="15" t="n">
        <f aca="false">MAX(O325:U325)</f>
        <v>2.1</v>
      </c>
      <c r="N325" s="15" t="n">
        <f aca="false">COUNTIF(M325,"&gt;9.9")</f>
        <v>0</v>
      </c>
      <c r="O325" s="2" t="n">
        <v>2.1</v>
      </c>
      <c r="V325" s="15" t="n">
        <f aca="false">PI()*POWER((O325/200),2)</f>
        <v>0.000346360590058275</v>
      </c>
      <c r="W325" s="15" t="n">
        <f aca="false">PI()*POWER((P325/200),2)</f>
        <v>0</v>
      </c>
      <c r="X325" s="15" t="n">
        <f aca="false">PI()*POWER((Q325/200),2)</f>
        <v>0</v>
      </c>
      <c r="Y325" s="15" t="n">
        <f aca="false">PI()*POWER((R325/200),2)</f>
        <v>0</v>
      </c>
      <c r="Z325" s="15" t="n">
        <f aca="false">PI()*POWER((S325/200),2)</f>
        <v>0</v>
      </c>
      <c r="AA325" s="15" t="n">
        <f aca="false">PI()*POWER((T325/200),2)</f>
        <v>0</v>
      </c>
      <c r="AB325" s="15" t="n">
        <f aca="false">PI()*POWER((U325/200),2)</f>
        <v>0</v>
      </c>
    </row>
    <row r="326" customFormat="false" ht="15" hidden="false" customHeight="false" outlineLevel="0" collapsed="false">
      <c r="A326" s="2" t="s">
        <v>20</v>
      </c>
      <c r="B326" s="2" t="n">
        <v>2</v>
      </c>
      <c r="C326" s="9" t="n">
        <v>46264</v>
      </c>
      <c r="D326" s="2" t="n">
        <v>4</v>
      </c>
      <c r="E326" s="2" t="s">
        <v>35</v>
      </c>
      <c r="F326" s="2" t="s">
        <v>36</v>
      </c>
      <c r="G326" s="2" t="s">
        <v>37</v>
      </c>
      <c r="H326" s="2" t="s">
        <v>38</v>
      </c>
      <c r="I326" s="2" t="s">
        <v>39</v>
      </c>
      <c r="J326" s="2" t="n">
        <v>61</v>
      </c>
      <c r="K326" s="32" t="s">
        <v>144</v>
      </c>
      <c r="L326" s="15" t="n">
        <f aca="false">SUM(V326:AB326)</f>
        <v>0.00301907054009979</v>
      </c>
      <c r="M326" s="15" t="n">
        <f aca="false">MAX(O326:U326)</f>
        <v>6.2</v>
      </c>
      <c r="N326" s="15" t="n">
        <f aca="false">COUNTIF(M326,"&gt;9.9")</f>
        <v>0</v>
      </c>
      <c r="O326" s="2" t="n">
        <v>6.2</v>
      </c>
      <c r="V326" s="15" t="n">
        <f aca="false">PI()*POWER((O326/200),2)</f>
        <v>0.00301907054009979</v>
      </c>
      <c r="W326" s="15" t="n">
        <f aca="false">PI()*POWER((P326/200),2)</f>
        <v>0</v>
      </c>
      <c r="X326" s="15" t="n">
        <f aca="false">PI()*POWER((Q326/200),2)</f>
        <v>0</v>
      </c>
      <c r="Y326" s="15" t="n">
        <f aca="false">PI()*POWER((R326/200),2)</f>
        <v>0</v>
      </c>
      <c r="Z326" s="15" t="n">
        <f aca="false">PI()*POWER((S326/200),2)</f>
        <v>0</v>
      </c>
      <c r="AA326" s="15" t="n">
        <f aca="false">PI()*POWER((T326/200),2)</f>
        <v>0</v>
      </c>
      <c r="AB326" s="15" t="n">
        <f aca="false">PI()*POWER((U326/200),2)</f>
        <v>0</v>
      </c>
    </row>
    <row r="327" customFormat="false" ht="15" hidden="false" customHeight="false" outlineLevel="0" collapsed="false">
      <c r="A327" s="2" t="s">
        <v>20</v>
      </c>
      <c r="B327" s="2" t="n">
        <v>2</v>
      </c>
      <c r="C327" s="9" t="n">
        <v>46264</v>
      </c>
      <c r="D327" s="2" t="n">
        <v>4</v>
      </c>
      <c r="E327" s="2" t="s">
        <v>35</v>
      </c>
      <c r="F327" s="2" t="s">
        <v>36</v>
      </c>
      <c r="G327" s="2" t="s">
        <v>37</v>
      </c>
      <c r="H327" s="2" t="s">
        <v>38</v>
      </c>
      <c r="I327" s="2" t="s">
        <v>39</v>
      </c>
      <c r="J327" s="2" t="n">
        <v>62</v>
      </c>
      <c r="K327" s="32" t="s">
        <v>144</v>
      </c>
      <c r="L327" s="15" t="n">
        <f aca="false">SUM(V327:AB327)</f>
        <v>0.0036316811075498</v>
      </c>
      <c r="M327" s="15" t="n">
        <f aca="false">MAX(O327:U327)</f>
        <v>6.8</v>
      </c>
      <c r="N327" s="15" t="n">
        <f aca="false">COUNTIF(M327,"&gt;9.9")</f>
        <v>0</v>
      </c>
      <c r="O327" s="2" t="n">
        <v>6.8</v>
      </c>
      <c r="V327" s="15" t="n">
        <f aca="false">PI()*POWER((O327/200),2)</f>
        <v>0.0036316811075498</v>
      </c>
      <c r="W327" s="15" t="n">
        <f aca="false">PI()*POWER((P327/200),2)</f>
        <v>0</v>
      </c>
      <c r="X327" s="15" t="n">
        <f aca="false">PI()*POWER((Q327/200),2)</f>
        <v>0</v>
      </c>
      <c r="Y327" s="15" t="n">
        <f aca="false">PI()*POWER((R327/200),2)</f>
        <v>0</v>
      </c>
      <c r="Z327" s="15" t="n">
        <f aca="false">PI()*POWER((S327/200),2)</f>
        <v>0</v>
      </c>
      <c r="AA327" s="15" t="n">
        <f aca="false">PI()*POWER((T327/200),2)</f>
        <v>0</v>
      </c>
      <c r="AB327" s="15" t="n">
        <f aca="false">PI()*POWER((U327/200),2)</f>
        <v>0</v>
      </c>
    </row>
    <row r="328" customFormat="false" ht="15" hidden="false" customHeight="false" outlineLevel="0" collapsed="false">
      <c r="A328" s="2" t="s">
        <v>20</v>
      </c>
      <c r="B328" s="2" t="n">
        <v>3</v>
      </c>
      <c r="C328" s="9" t="n">
        <v>46264</v>
      </c>
      <c r="D328" s="2" t="n">
        <v>1</v>
      </c>
      <c r="E328" s="2" t="s">
        <v>85</v>
      </c>
      <c r="F328" s="2" t="s">
        <v>21</v>
      </c>
      <c r="G328" s="2" t="s">
        <v>86</v>
      </c>
      <c r="H328" s="2" t="s">
        <v>23</v>
      </c>
      <c r="I328" s="2" t="s">
        <v>25</v>
      </c>
      <c r="J328" s="2" t="n">
        <v>14</v>
      </c>
      <c r="K328" s="32" t="s">
        <v>146</v>
      </c>
      <c r="L328" s="15" t="n">
        <f aca="false">SUM(V328:AB328)</f>
        <v>0.0416261026600648</v>
      </c>
      <c r="M328" s="15" t="n">
        <f aca="false">MAX(O328:U328)</f>
        <v>19</v>
      </c>
      <c r="N328" s="15" t="n">
        <f aca="false">COUNTIF(M328,"&gt;9.9")</f>
        <v>1</v>
      </c>
      <c r="O328" s="2" t="n">
        <v>19</v>
      </c>
      <c r="P328" s="2" t="n">
        <v>13</v>
      </c>
      <c r="V328" s="15" t="n">
        <f aca="false">PI()*POWER((O328/200),2)</f>
        <v>0.0283528736986479</v>
      </c>
      <c r="W328" s="15" t="n">
        <f aca="false">PI()*POWER((P328/200),2)</f>
        <v>0.0132732289614169</v>
      </c>
      <c r="X328" s="15" t="n">
        <f aca="false">PI()*POWER((Q328/200),2)</f>
        <v>0</v>
      </c>
      <c r="Y328" s="15" t="n">
        <f aca="false">PI()*POWER((R328/200),2)</f>
        <v>0</v>
      </c>
      <c r="Z328" s="15" t="n">
        <f aca="false">PI()*POWER((S328/200),2)</f>
        <v>0</v>
      </c>
      <c r="AA328" s="15" t="n">
        <f aca="false">PI()*POWER((T328/200),2)</f>
        <v>0</v>
      </c>
      <c r="AB328" s="15" t="n">
        <f aca="false">PI()*POWER((U328/200),2)</f>
        <v>0</v>
      </c>
    </row>
    <row r="329" customFormat="false" ht="15" hidden="false" customHeight="false" outlineLevel="0" collapsed="false">
      <c r="A329" s="2" t="s">
        <v>20</v>
      </c>
      <c r="B329" s="2" t="n">
        <v>3</v>
      </c>
      <c r="C329" s="9" t="n">
        <v>46264</v>
      </c>
      <c r="D329" s="2" t="n">
        <v>1</v>
      </c>
      <c r="E329" s="2" t="s">
        <v>85</v>
      </c>
      <c r="F329" s="2" t="s">
        <v>21</v>
      </c>
      <c r="G329" s="2" t="s">
        <v>86</v>
      </c>
      <c r="H329" s="2" t="s">
        <v>23</v>
      </c>
      <c r="I329" s="2" t="s">
        <v>25</v>
      </c>
      <c r="J329" s="2" t="n">
        <v>54</v>
      </c>
      <c r="K329" s="2" t="s">
        <v>147</v>
      </c>
      <c r="L329" s="15" t="n">
        <f aca="false">SUM(V329:AB329)</f>
        <v>0.0283528736986479</v>
      </c>
      <c r="M329" s="15" t="n">
        <f aca="false">MAX(O329:U329)</f>
        <v>19</v>
      </c>
      <c r="N329" s="15" t="n">
        <f aca="false">COUNTIF(M329,"&gt;9.9")</f>
        <v>1</v>
      </c>
      <c r="O329" s="2" t="n">
        <v>19</v>
      </c>
      <c r="V329" s="15" t="n">
        <f aca="false">PI()*POWER((O329/200),2)</f>
        <v>0.0283528736986479</v>
      </c>
      <c r="W329" s="15" t="n">
        <f aca="false">PI()*POWER((P329/200),2)</f>
        <v>0</v>
      </c>
      <c r="X329" s="15" t="n">
        <f aca="false">PI()*POWER((Q329/200),2)</f>
        <v>0</v>
      </c>
      <c r="Y329" s="15" t="n">
        <f aca="false">PI()*POWER((R329/200),2)</f>
        <v>0</v>
      </c>
      <c r="Z329" s="15" t="n">
        <f aca="false">PI()*POWER((S329/200),2)</f>
        <v>0</v>
      </c>
      <c r="AA329" s="15" t="n">
        <f aca="false">PI()*POWER((T329/200),2)</f>
        <v>0</v>
      </c>
      <c r="AB329" s="15" t="n">
        <f aca="false">PI()*POWER((U329/200),2)</f>
        <v>0</v>
      </c>
    </row>
    <row r="330" customFormat="false" ht="15" hidden="false" customHeight="false" outlineLevel="0" collapsed="false">
      <c r="A330" s="2" t="s">
        <v>20</v>
      </c>
      <c r="B330" s="2" t="n">
        <v>3</v>
      </c>
      <c r="C330" s="9" t="n">
        <v>46264</v>
      </c>
      <c r="D330" s="2" t="n">
        <v>1</v>
      </c>
      <c r="E330" s="2" t="s">
        <v>85</v>
      </c>
      <c r="F330" s="2" t="s">
        <v>21</v>
      </c>
      <c r="G330" s="2" t="s">
        <v>86</v>
      </c>
      <c r="H330" s="2" t="s">
        <v>23</v>
      </c>
      <c r="I330" s="2" t="s">
        <v>25</v>
      </c>
      <c r="J330" s="2" t="n">
        <v>55</v>
      </c>
      <c r="K330" s="2" t="s">
        <v>147</v>
      </c>
      <c r="L330" s="15" t="n">
        <f aca="false">SUM(V330:AB330)</f>
        <v>0.0804247719318987</v>
      </c>
      <c r="M330" s="15" t="n">
        <f aca="false">MAX(O330:U330)</f>
        <v>32</v>
      </c>
      <c r="N330" s="15" t="n">
        <f aca="false">COUNTIF(M330,"&gt;9.9")</f>
        <v>1</v>
      </c>
      <c r="O330" s="2" t="n">
        <v>32</v>
      </c>
      <c r="V330" s="15" t="n">
        <f aca="false">PI()*POWER((O330/200),2)</f>
        <v>0.0804247719318987</v>
      </c>
      <c r="W330" s="15" t="n">
        <f aca="false">PI()*POWER((P330/200),2)</f>
        <v>0</v>
      </c>
      <c r="X330" s="15" t="n">
        <f aca="false">PI()*POWER((Q330/200),2)</f>
        <v>0</v>
      </c>
      <c r="Y330" s="15" t="n">
        <f aca="false">PI()*POWER((R330/200),2)</f>
        <v>0</v>
      </c>
      <c r="Z330" s="15" t="n">
        <f aca="false">PI()*POWER((S330/200),2)</f>
        <v>0</v>
      </c>
      <c r="AA330" s="15" t="n">
        <f aca="false">PI()*POWER((T330/200),2)</f>
        <v>0</v>
      </c>
      <c r="AB330" s="15" t="n">
        <f aca="false">PI()*POWER((U330/200),2)</f>
        <v>0</v>
      </c>
    </row>
    <row r="331" customFormat="false" ht="15" hidden="false" customHeight="false" outlineLevel="0" collapsed="false">
      <c r="A331" s="2" t="s">
        <v>20</v>
      </c>
      <c r="B331" s="2" t="n">
        <v>3</v>
      </c>
      <c r="C331" s="9" t="n">
        <v>46264</v>
      </c>
      <c r="D331" s="2" t="n">
        <v>1</v>
      </c>
      <c r="E331" s="2" t="s">
        <v>85</v>
      </c>
      <c r="F331" s="2" t="s">
        <v>21</v>
      </c>
      <c r="G331" s="2" t="s">
        <v>86</v>
      </c>
      <c r="H331" s="2" t="s">
        <v>23</v>
      </c>
      <c r="I331" s="2" t="s">
        <v>25</v>
      </c>
      <c r="J331" s="2" t="n">
        <v>53</v>
      </c>
      <c r="K331" s="2" t="s">
        <v>147</v>
      </c>
      <c r="L331" s="15" t="n">
        <f aca="false">SUM(V331:AB331)</f>
        <v>0.184745282985165</v>
      </c>
      <c r="M331" s="15" t="n">
        <f aca="false">MAX(O331:U331)</f>
        <v>48.5</v>
      </c>
      <c r="N331" s="15" t="n">
        <f aca="false">COUNTIF(M331,"&gt;9.9")</f>
        <v>1</v>
      </c>
      <c r="O331" s="2" t="n">
        <v>48.5</v>
      </c>
      <c r="V331" s="15" t="n">
        <f aca="false">PI()*POWER((O331/200),2)</f>
        <v>0.184745282985165</v>
      </c>
      <c r="W331" s="15" t="n">
        <f aca="false">PI()*POWER((P331/200),2)</f>
        <v>0</v>
      </c>
      <c r="X331" s="15" t="n">
        <f aca="false">PI()*POWER((Q331/200),2)</f>
        <v>0</v>
      </c>
      <c r="Y331" s="15" t="n">
        <f aca="false">PI()*POWER((R331/200),2)</f>
        <v>0</v>
      </c>
      <c r="Z331" s="15" t="n">
        <f aca="false">PI()*POWER((S331/200),2)</f>
        <v>0</v>
      </c>
      <c r="AA331" s="15" t="n">
        <f aca="false">PI()*POWER((T331/200),2)</f>
        <v>0</v>
      </c>
      <c r="AB331" s="15" t="n">
        <f aca="false">PI()*POWER((U331/200),2)</f>
        <v>0</v>
      </c>
    </row>
    <row r="332" customFormat="false" ht="15" hidden="false" customHeight="false" outlineLevel="0" collapsed="false">
      <c r="A332" s="2" t="s">
        <v>20</v>
      </c>
      <c r="B332" s="2" t="n">
        <v>3</v>
      </c>
      <c r="C332" s="9" t="n">
        <v>46264</v>
      </c>
      <c r="D332" s="2" t="n">
        <v>1</v>
      </c>
      <c r="E332" s="2" t="s">
        <v>85</v>
      </c>
      <c r="F332" s="2" t="s">
        <v>21</v>
      </c>
      <c r="G332" s="2" t="s">
        <v>86</v>
      </c>
      <c r="H332" s="2" t="s">
        <v>23</v>
      </c>
      <c r="I332" s="2" t="s">
        <v>25</v>
      </c>
      <c r="J332" s="2" t="n">
        <v>56</v>
      </c>
      <c r="K332" s="32" t="s">
        <v>148</v>
      </c>
      <c r="L332" s="15" t="n">
        <f aca="false">SUM(V332:AB332)</f>
        <v>7.85398163397448E-005</v>
      </c>
      <c r="M332" s="15" t="n">
        <f aca="false">MAX(O332:U332)</f>
        <v>1</v>
      </c>
      <c r="N332" s="15" t="n">
        <f aca="false">COUNTIF(M332,"&gt;9.9")</f>
        <v>0</v>
      </c>
      <c r="O332" s="2" t="n">
        <v>1</v>
      </c>
      <c r="V332" s="15" t="n">
        <f aca="false">PI()*POWER((O332/200),2)</f>
        <v>7.85398163397448E-005</v>
      </c>
      <c r="W332" s="15" t="n">
        <f aca="false">PI()*POWER((P332/200),2)</f>
        <v>0</v>
      </c>
      <c r="X332" s="15" t="n">
        <f aca="false">PI()*POWER((Q332/200),2)</f>
        <v>0</v>
      </c>
      <c r="Y332" s="15" t="n">
        <f aca="false">PI()*POWER((R332/200),2)</f>
        <v>0</v>
      </c>
      <c r="Z332" s="15" t="n">
        <f aca="false">PI()*POWER((S332/200),2)</f>
        <v>0</v>
      </c>
      <c r="AA332" s="15" t="n">
        <f aca="false">PI()*POWER((T332/200),2)</f>
        <v>0</v>
      </c>
      <c r="AB332" s="15" t="n">
        <f aca="false">PI()*POWER((U332/200),2)</f>
        <v>0</v>
      </c>
    </row>
    <row r="333" customFormat="false" ht="15" hidden="false" customHeight="false" outlineLevel="0" collapsed="false">
      <c r="A333" s="2" t="s">
        <v>20</v>
      </c>
      <c r="B333" s="2" t="n">
        <v>3</v>
      </c>
      <c r="C333" s="9" t="n">
        <v>46264</v>
      </c>
      <c r="D333" s="2" t="n">
        <v>1</v>
      </c>
      <c r="E333" s="2" t="s">
        <v>85</v>
      </c>
      <c r="F333" s="2" t="s">
        <v>21</v>
      </c>
      <c r="G333" s="2" t="s">
        <v>86</v>
      </c>
      <c r="H333" s="2" t="s">
        <v>23</v>
      </c>
      <c r="I333" s="2" t="s">
        <v>25</v>
      </c>
      <c r="J333" s="2" t="n">
        <v>59</v>
      </c>
      <c r="K333" s="32" t="s">
        <v>148</v>
      </c>
      <c r="L333" s="15" t="n">
        <f aca="false">SUM(V333:AB333)</f>
        <v>0.000314159265358979</v>
      </c>
      <c r="M333" s="15" t="n">
        <f aca="false">MAX(O333:U333)</f>
        <v>2</v>
      </c>
      <c r="N333" s="15" t="n">
        <f aca="false">COUNTIF(M333,"&gt;9.9")</f>
        <v>0</v>
      </c>
      <c r="O333" s="2" t="n">
        <v>2</v>
      </c>
      <c r="V333" s="15" t="n">
        <f aca="false">PI()*POWER((O333/200),2)</f>
        <v>0.000314159265358979</v>
      </c>
      <c r="W333" s="15" t="n">
        <f aca="false">PI()*POWER((P333/200),2)</f>
        <v>0</v>
      </c>
      <c r="X333" s="15" t="n">
        <f aca="false">PI()*POWER((Q333/200),2)</f>
        <v>0</v>
      </c>
      <c r="Y333" s="15" t="n">
        <f aca="false">PI()*POWER((R333/200),2)</f>
        <v>0</v>
      </c>
      <c r="Z333" s="15" t="n">
        <f aca="false">PI()*POWER((S333/200),2)</f>
        <v>0</v>
      </c>
      <c r="AA333" s="15" t="n">
        <f aca="false">PI()*POWER((T333/200),2)</f>
        <v>0</v>
      </c>
      <c r="AB333" s="15" t="n">
        <f aca="false">PI()*POWER((U333/200),2)</f>
        <v>0</v>
      </c>
    </row>
    <row r="334" customFormat="false" ht="15" hidden="false" customHeight="false" outlineLevel="0" collapsed="false">
      <c r="A334" s="2" t="s">
        <v>20</v>
      </c>
      <c r="B334" s="2" t="n">
        <v>3</v>
      </c>
      <c r="C334" s="9" t="n">
        <v>46264</v>
      </c>
      <c r="D334" s="2" t="n">
        <v>1</v>
      </c>
      <c r="E334" s="2" t="s">
        <v>85</v>
      </c>
      <c r="F334" s="2" t="s">
        <v>21</v>
      </c>
      <c r="G334" s="2" t="s">
        <v>86</v>
      </c>
      <c r="H334" s="2" t="s">
        <v>23</v>
      </c>
      <c r="I334" s="2" t="s">
        <v>25</v>
      </c>
      <c r="J334" s="2" t="n">
        <v>64</v>
      </c>
      <c r="K334" s="32" t="s">
        <v>148</v>
      </c>
      <c r="L334" s="15" t="n">
        <f aca="false">SUM(V334:AB334)</f>
        <v>0.00322013246992954</v>
      </c>
      <c r="M334" s="15" t="n">
        <f aca="false">MAX(O334:U334)</f>
        <v>5</v>
      </c>
      <c r="N334" s="15" t="n">
        <f aca="false">COUNTIF(M334,"&gt;9.9")</f>
        <v>0</v>
      </c>
      <c r="O334" s="2" t="n">
        <v>5</v>
      </c>
      <c r="P334" s="2" t="n">
        <v>4</v>
      </c>
      <c r="V334" s="15" t="n">
        <f aca="false">PI()*POWER((O334/200),2)</f>
        <v>0.00196349540849362</v>
      </c>
      <c r="W334" s="15" t="n">
        <f aca="false">PI()*POWER((P334/200),2)</f>
        <v>0.00125663706143592</v>
      </c>
      <c r="X334" s="15" t="n">
        <f aca="false">PI()*POWER((Q334/200),2)</f>
        <v>0</v>
      </c>
      <c r="Y334" s="15" t="n">
        <f aca="false">PI()*POWER((R334/200),2)</f>
        <v>0</v>
      </c>
      <c r="Z334" s="15" t="n">
        <f aca="false">PI()*POWER((S334/200),2)</f>
        <v>0</v>
      </c>
      <c r="AA334" s="15" t="n">
        <f aca="false">PI()*POWER((T334/200),2)</f>
        <v>0</v>
      </c>
      <c r="AB334" s="15" t="n">
        <f aca="false">PI()*POWER((U334/200),2)</f>
        <v>0</v>
      </c>
    </row>
    <row r="335" customFormat="false" ht="15" hidden="false" customHeight="false" outlineLevel="0" collapsed="false">
      <c r="A335" s="2" t="s">
        <v>20</v>
      </c>
      <c r="B335" s="2" t="n">
        <v>3</v>
      </c>
      <c r="C335" s="9" t="n">
        <v>46264</v>
      </c>
      <c r="D335" s="2" t="n">
        <v>1</v>
      </c>
      <c r="E335" s="2" t="s">
        <v>85</v>
      </c>
      <c r="F335" s="2" t="s">
        <v>21</v>
      </c>
      <c r="G335" s="2" t="s">
        <v>86</v>
      </c>
      <c r="H335" s="2" t="s">
        <v>23</v>
      </c>
      <c r="I335" s="2" t="s">
        <v>25</v>
      </c>
      <c r="J335" s="2" t="n">
        <v>63</v>
      </c>
      <c r="K335" s="32" t="s">
        <v>148</v>
      </c>
      <c r="L335" s="15" t="n">
        <f aca="false">SUM(V335:AB335)</f>
        <v>0.00282743338823081</v>
      </c>
      <c r="M335" s="15" t="n">
        <f aca="false">MAX(O335:U335)</f>
        <v>6</v>
      </c>
      <c r="N335" s="15" t="n">
        <f aca="false">COUNTIF(M335,"&gt;9.9")</f>
        <v>0</v>
      </c>
      <c r="O335" s="2" t="n">
        <v>6</v>
      </c>
      <c r="V335" s="15" t="n">
        <f aca="false">PI()*POWER((O335/200),2)</f>
        <v>0.00282743338823081</v>
      </c>
      <c r="W335" s="15" t="n">
        <f aca="false">PI()*POWER((P335/200),2)</f>
        <v>0</v>
      </c>
      <c r="X335" s="15" t="n">
        <f aca="false">PI()*POWER((Q335/200),2)</f>
        <v>0</v>
      </c>
      <c r="Y335" s="15" t="n">
        <f aca="false">PI()*POWER((R335/200),2)</f>
        <v>0</v>
      </c>
      <c r="Z335" s="15" t="n">
        <f aca="false">PI()*POWER((S335/200),2)</f>
        <v>0</v>
      </c>
      <c r="AA335" s="15" t="n">
        <f aca="false">PI()*POWER((T335/200),2)</f>
        <v>0</v>
      </c>
      <c r="AB335" s="15" t="n">
        <f aca="false">PI()*POWER((U335/200),2)</f>
        <v>0</v>
      </c>
    </row>
    <row r="336" customFormat="false" ht="15" hidden="false" customHeight="false" outlineLevel="0" collapsed="false">
      <c r="A336" s="2" t="s">
        <v>20</v>
      </c>
      <c r="B336" s="2" t="n">
        <v>3</v>
      </c>
      <c r="C336" s="9" t="n">
        <v>46264</v>
      </c>
      <c r="D336" s="2" t="n">
        <v>1</v>
      </c>
      <c r="E336" s="2" t="s">
        <v>85</v>
      </c>
      <c r="F336" s="2" t="s">
        <v>21</v>
      </c>
      <c r="G336" s="2" t="s">
        <v>86</v>
      </c>
      <c r="H336" s="2" t="s">
        <v>23</v>
      </c>
      <c r="I336" s="2" t="s">
        <v>25</v>
      </c>
      <c r="J336" s="2" t="n">
        <v>65</v>
      </c>
      <c r="K336" s="32" t="s">
        <v>148</v>
      </c>
      <c r="L336" s="15" t="n">
        <f aca="false">SUM(V336:AB336)</f>
        <v>0.00863937979737193</v>
      </c>
      <c r="M336" s="15" t="n">
        <f aca="false">MAX(O336:U336)</f>
        <v>7</v>
      </c>
      <c r="N336" s="15" t="n">
        <f aca="false">COUNTIF(M336,"&gt;9.9")</f>
        <v>0</v>
      </c>
      <c r="O336" s="2" t="n">
        <v>7</v>
      </c>
      <c r="P336" s="2" t="n">
        <v>5</v>
      </c>
      <c r="Q336" s="2" t="n">
        <v>6</v>
      </c>
      <c r="V336" s="15" t="n">
        <f aca="false">PI()*POWER((O336/200),2)</f>
        <v>0.0038484510006475</v>
      </c>
      <c r="W336" s="15" t="n">
        <f aca="false">PI()*POWER((P336/200),2)</f>
        <v>0.00196349540849362</v>
      </c>
      <c r="X336" s="15" t="n">
        <f aca="false">PI()*POWER((Q336/200),2)</f>
        <v>0.00282743338823081</v>
      </c>
      <c r="Y336" s="15" t="n">
        <f aca="false">PI()*POWER((R336/200),2)</f>
        <v>0</v>
      </c>
      <c r="Z336" s="15" t="n">
        <f aca="false">PI()*POWER((S336/200),2)</f>
        <v>0</v>
      </c>
      <c r="AA336" s="15" t="n">
        <f aca="false">PI()*POWER((T336/200),2)</f>
        <v>0</v>
      </c>
      <c r="AB336" s="15" t="n">
        <f aca="false">PI()*POWER((U336/200),2)</f>
        <v>0</v>
      </c>
    </row>
    <row r="337" customFormat="false" ht="15" hidden="false" customHeight="false" outlineLevel="0" collapsed="false">
      <c r="A337" s="2" t="s">
        <v>20</v>
      </c>
      <c r="B337" s="2" t="n">
        <v>3</v>
      </c>
      <c r="C337" s="9" t="n">
        <v>46264</v>
      </c>
      <c r="D337" s="2" t="n">
        <v>1</v>
      </c>
      <c r="E337" s="2" t="s">
        <v>85</v>
      </c>
      <c r="F337" s="2" t="s">
        <v>21</v>
      </c>
      <c r="G337" s="2" t="s">
        <v>86</v>
      </c>
      <c r="H337" s="2" t="s">
        <v>23</v>
      </c>
      <c r="I337" s="2" t="s">
        <v>25</v>
      </c>
      <c r="J337" s="2" t="n">
        <v>69</v>
      </c>
      <c r="K337" s="32" t="s">
        <v>148</v>
      </c>
      <c r="L337" s="15" t="n">
        <f aca="false">SUM(V337:AB337)</f>
        <v>0.0038484510006475</v>
      </c>
      <c r="M337" s="15" t="n">
        <f aca="false">MAX(O337:U337)</f>
        <v>7</v>
      </c>
      <c r="N337" s="15" t="n">
        <f aca="false">COUNTIF(M337,"&gt;9.9")</f>
        <v>0</v>
      </c>
      <c r="O337" s="2" t="n">
        <v>7</v>
      </c>
      <c r="V337" s="15" t="n">
        <f aca="false">PI()*POWER((O337/200),2)</f>
        <v>0.0038484510006475</v>
      </c>
      <c r="W337" s="15" t="n">
        <f aca="false">PI()*POWER((P337/200),2)</f>
        <v>0</v>
      </c>
      <c r="X337" s="15" t="n">
        <f aca="false">PI()*POWER((Q337/200),2)</f>
        <v>0</v>
      </c>
      <c r="Y337" s="15" t="n">
        <f aca="false">PI()*POWER((R337/200),2)</f>
        <v>0</v>
      </c>
      <c r="Z337" s="15" t="n">
        <f aca="false">PI()*POWER((S337/200),2)</f>
        <v>0</v>
      </c>
      <c r="AA337" s="15" t="n">
        <f aca="false">PI()*POWER((T337/200),2)</f>
        <v>0</v>
      </c>
      <c r="AB337" s="15" t="n">
        <f aca="false">PI()*POWER((U337/200),2)</f>
        <v>0</v>
      </c>
    </row>
    <row r="338" customFormat="false" ht="15" hidden="false" customHeight="false" outlineLevel="0" collapsed="false">
      <c r="A338" s="2" t="s">
        <v>20</v>
      </c>
      <c r="B338" s="2" t="n">
        <v>3</v>
      </c>
      <c r="C338" s="9" t="n">
        <v>46264</v>
      </c>
      <c r="D338" s="2" t="n">
        <v>1</v>
      </c>
      <c r="E338" s="2" t="s">
        <v>85</v>
      </c>
      <c r="F338" s="2" t="s">
        <v>21</v>
      </c>
      <c r="G338" s="2" t="s">
        <v>86</v>
      </c>
      <c r="H338" s="2" t="s">
        <v>23</v>
      </c>
      <c r="I338" s="2" t="s">
        <v>25</v>
      </c>
      <c r="J338" s="2" t="n">
        <v>70</v>
      </c>
      <c r="K338" s="32" t="s">
        <v>148</v>
      </c>
      <c r="L338" s="15" t="n">
        <f aca="false">SUM(V338:AB338)</f>
        <v>0.0038484510006475</v>
      </c>
      <c r="M338" s="15" t="n">
        <f aca="false">MAX(O338:U338)</f>
        <v>7</v>
      </c>
      <c r="N338" s="15" t="n">
        <f aca="false">COUNTIF(M338,"&gt;9.9")</f>
        <v>0</v>
      </c>
      <c r="O338" s="2" t="n">
        <v>7</v>
      </c>
      <c r="V338" s="15" t="n">
        <f aca="false">PI()*POWER((O338/200),2)</f>
        <v>0.0038484510006475</v>
      </c>
      <c r="W338" s="15" t="n">
        <f aca="false">PI()*POWER((P338/200),2)</f>
        <v>0</v>
      </c>
      <c r="X338" s="15" t="n">
        <f aca="false">PI()*POWER((Q338/200),2)</f>
        <v>0</v>
      </c>
      <c r="Y338" s="15" t="n">
        <f aca="false">PI()*POWER((R338/200),2)</f>
        <v>0</v>
      </c>
      <c r="Z338" s="15" t="n">
        <f aca="false">PI()*POWER((S338/200),2)</f>
        <v>0</v>
      </c>
      <c r="AA338" s="15" t="n">
        <f aca="false">PI()*POWER((T338/200),2)</f>
        <v>0</v>
      </c>
      <c r="AB338" s="15" t="n">
        <f aca="false">PI()*POWER((U338/200),2)</f>
        <v>0</v>
      </c>
    </row>
    <row r="339" customFormat="false" ht="15" hidden="false" customHeight="false" outlineLevel="0" collapsed="false">
      <c r="A339" s="2" t="s">
        <v>20</v>
      </c>
      <c r="B339" s="2" t="n">
        <v>3</v>
      </c>
      <c r="C339" s="9" t="n">
        <v>46264</v>
      </c>
      <c r="D339" s="2" t="n">
        <v>1</v>
      </c>
      <c r="E339" s="2" t="s">
        <v>85</v>
      </c>
      <c r="F339" s="2" t="s">
        <v>21</v>
      </c>
      <c r="G339" s="2" t="s">
        <v>86</v>
      </c>
      <c r="H339" s="2" t="s">
        <v>23</v>
      </c>
      <c r="I339" s="2" t="s">
        <v>25</v>
      </c>
      <c r="J339" s="2" t="n">
        <v>67</v>
      </c>
      <c r="K339" s="32" t="s">
        <v>148</v>
      </c>
      <c r="L339" s="15" t="n">
        <f aca="false">SUM(V339:AB339)</f>
        <v>0.00824668071567321</v>
      </c>
      <c r="M339" s="15" t="n">
        <f aca="false">MAX(O339:U339)</f>
        <v>8</v>
      </c>
      <c r="N339" s="15" t="n">
        <f aca="false">COUNTIF(M339,"&gt;9.9")</f>
        <v>0</v>
      </c>
      <c r="O339" s="2" t="n">
        <v>8</v>
      </c>
      <c r="P339" s="2" t="n">
        <v>4</v>
      </c>
      <c r="Q339" s="2" t="n">
        <v>5</v>
      </c>
      <c r="V339" s="15" t="n">
        <f aca="false">PI()*POWER((O339/200),2)</f>
        <v>0.00502654824574367</v>
      </c>
      <c r="W339" s="15" t="n">
        <f aca="false">PI()*POWER((P339/200),2)</f>
        <v>0.00125663706143592</v>
      </c>
      <c r="X339" s="15" t="n">
        <f aca="false">PI()*POWER((Q339/200),2)</f>
        <v>0.00196349540849362</v>
      </c>
      <c r="Y339" s="15" t="n">
        <f aca="false">PI()*POWER((R339/200),2)</f>
        <v>0</v>
      </c>
      <c r="Z339" s="15" t="n">
        <f aca="false">PI()*POWER((S339/200),2)</f>
        <v>0</v>
      </c>
      <c r="AA339" s="15" t="n">
        <f aca="false">PI()*POWER((T339/200),2)</f>
        <v>0</v>
      </c>
      <c r="AB339" s="15" t="n">
        <f aca="false">PI()*POWER((U339/200),2)</f>
        <v>0</v>
      </c>
    </row>
    <row r="340" customFormat="false" ht="15" hidden="false" customHeight="false" outlineLevel="0" collapsed="false">
      <c r="A340" s="2" t="s">
        <v>20</v>
      </c>
      <c r="B340" s="2" t="n">
        <v>3</v>
      </c>
      <c r="C340" s="9" t="n">
        <v>46264</v>
      </c>
      <c r="D340" s="2" t="n">
        <v>1</v>
      </c>
      <c r="E340" s="2" t="s">
        <v>85</v>
      </c>
      <c r="F340" s="2" t="s">
        <v>21</v>
      </c>
      <c r="G340" s="2" t="s">
        <v>86</v>
      </c>
      <c r="H340" s="2" t="s">
        <v>23</v>
      </c>
      <c r="I340" s="2" t="s">
        <v>25</v>
      </c>
      <c r="J340" s="2" t="n">
        <v>57</v>
      </c>
      <c r="K340" s="32" t="s">
        <v>148</v>
      </c>
      <c r="L340" s="15" t="n">
        <f aca="false">SUM(V340:AB340)</f>
        <v>0.00865901475145687</v>
      </c>
      <c r="M340" s="15" t="n">
        <f aca="false">MAX(O340:U340)</f>
        <v>10.5</v>
      </c>
      <c r="N340" s="15" t="n">
        <f aca="false">COUNTIF(M340,"&gt;9.9")</f>
        <v>1</v>
      </c>
      <c r="O340" s="2" t="n">
        <v>10.5</v>
      </c>
      <c r="V340" s="15" t="n">
        <f aca="false">PI()*POWER((O340/200),2)</f>
        <v>0.00865901475145687</v>
      </c>
      <c r="W340" s="15" t="n">
        <f aca="false">PI()*POWER((P340/200),2)</f>
        <v>0</v>
      </c>
      <c r="X340" s="15" t="n">
        <f aca="false">PI()*POWER((Q340/200),2)</f>
        <v>0</v>
      </c>
      <c r="Y340" s="15" t="n">
        <f aca="false">PI()*POWER((R340/200),2)</f>
        <v>0</v>
      </c>
      <c r="Z340" s="15" t="n">
        <f aca="false">PI()*POWER((S340/200),2)</f>
        <v>0</v>
      </c>
      <c r="AA340" s="15" t="n">
        <f aca="false">PI()*POWER((T340/200),2)</f>
        <v>0</v>
      </c>
      <c r="AB340" s="15" t="n">
        <f aca="false">PI()*POWER((U340/200),2)</f>
        <v>0</v>
      </c>
    </row>
    <row r="341" customFormat="false" ht="15" hidden="false" customHeight="false" outlineLevel="0" collapsed="false">
      <c r="A341" s="2" t="s">
        <v>20</v>
      </c>
      <c r="B341" s="2" t="n">
        <v>3</v>
      </c>
      <c r="C341" s="9" t="n">
        <v>46264</v>
      </c>
      <c r="D341" s="2" t="n">
        <v>1</v>
      </c>
      <c r="E341" s="2" t="s">
        <v>85</v>
      </c>
      <c r="F341" s="2" t="s">
        <v>21</v>
      </c>
      <c r="G341" s="2" t="s">
        <v>86</v>
      </c>
      <c r="H341" s="2" t="s">
        <v>23</v>
      </c>
      <c r="I341" s="2" t="s">
        <v>25</v>
      </c>
      <c r="J341" s="2" t="n">
        <v>61</v>
      </c>
      <c r="K341" s="32" t="s">
        <v>148</v>
      </c>
      <c r="L341" s="15" t="n">
        <f aca="false">SUM(V341:AB341)</f>
        <v>0.0113097335529233</v>
      </c>
      <c r="M341" s="15" t="n">
        <f aca="false">MAX(O341:U341)</f>
        <v>12</v>
      </c>
      <c r="N341" s="15" t="n">
        <f aca="false">COUNTIF(M341,"&gt;9.9")</f>
        <v>1</v>
      </c>
      <c r="O341" s="2" t="n">
        <v>12</v>
      </c>
      <c r="V341" s="15" t="n">
        <f aca="false">PI()*POWER((O341/200),2)</f>
        <v>0.0113097335529233</v>
      </c>
      <c r="W341" s="15" t="n">
        <f aca="false">PI()*POWER((P341/200),2)</f>
        <v>0</v>
      </c>
      <c r="X341" s="15" t="n">
        <f aca="false">PI()*POWER((Q341/200),2)</f>
        <v>0</v>
      </c>
      <c r="Y341" s="15" t="n">
        <f aca="false">PI()*POWER((R341/200),2)</f>
        <v>0</v>
      </c>
      <c r="Z341" s="15" t="n">
        <f aca="false">PI()*POWER((S341/200),2)</f>
        <v>0</v>
      </c>
      <c r="AA341" s="15" t="n">
        <f aca="false">PI()*POWER((T341/200),2)</f>
        <v>0</v>
      </c>
      <c r="AB341" s="15" t="n">
        <f aca="false">PI()*POWER((U341/200),2)</f>
        <v>0</v>
      </c>
    </row>
    <row r="342" customFormat="false" ht="15" hidden="false" customHeight="false" outlineLevel="0" collapsed="false">
      <c r="A342" s="2" t="s">
        <v>20</v>
      </c>
      <c r="B342" s="2" t="n">
        <v>3</v>
      </c>
      <c r="C342" s="9" t="n">
        <v>46264</v>
      </c>
      <c r="D342" s="2" t="n">
        <v>1</v>
      </c>
      <c r="E342" s="2" t="s">
        <v>85</v>
      </c>
      <c r="F342" s="2" t="s">
        <v>21</v>
      </c>
      <c r="G342" s="2" t="s">
        <v>86</v>
      </c>
      <c r="H342" s="2" t="s">
        <v>23</v>
      </c>
      <c r="I342" s="2" t="s">
        <v>25</v>
      </c>
      <c r="J342" s="2" t="n">
        <v>66</v>
      </c>
      <c r="K342" s="32" t="s">
        <v>148</v>
      </c>
      <c r="L342" s="15" t="n">
        <f aca="false">SUM(V342:AB342)</f>
        <v>0.0152367243699105</v>
      </c>
      <c r="M342" s="15" t="n">
        <f aca="false">MAX(O342:U342)</f>
        <v>13</v>
      </c>
      <c r="N342" s="15" t="n">
        <f aca="false">COUNTIF(M342,"&gt;9.9")</f>
        <v>1</v>
      </c>
      <c r="O342" s="2" t="n">
        <v>13</v>
      </c>
      <c r="P342" s="2" t="n">
        <v>5</v>
      </c>
      <c r="V342" s="15" t="n">
        <f aca="false">PI()*POWER((O342/200),2)</f>
        <v>0.0132732289614169</v>
      </c>
      <c r="W342" s="15" t="n">
        <f aca="false">PI()*POWER((P342/200),2)</f>
        <v>0.00196349540849362</v>
      </c>
      <c r="X342" s="15" t="n">
        <f aca="false">PI()*POWER((Q342/200),2)</f>
        <v>0</v>
      </c>
      <c r="Y342" s="15" t="n">
        <f aca="false">PI()*POWER((R342/200),2)</f>
        <v>0</v>
      </c>
      <c r="Z342" s="15" t="n">
        <f aca="false">PI()*POWER((S342/200),2)</f>
        <v>0</v>
      </c>
      <c r="AA342" s="15" t="n">
        <f aca="false">PI()*POWER((T342/200),2)</f>
        <v>0</v>
      </c>
      <c r="AB342" s="15" t="n">
        <f aca="false">PI()*POWER((U342/200),2)</f>
        <v>0</v>
      </c>
    </row>
    <row r="343" customFormat="false" ht="15" hidden="false" customHeight="false" outlineLevel="0" collapsed="false">
      <c r="A343" s="2" t="s">
        <v>20</v>
      </c>
      <c r="B343" s="2" t="n">
        <v>3</v>
      </c>
      <c r="C343" s="9" t="n">
        <v>46264</v>
      </c>
      <c r="D343" s="2" t="n">
        <v>1</v>
      </c>
      <c r="E343" s="2" t="s">
        <v>85</v>
      </c>
      <c r="F343" s="2" t="s">
        <v>21</v>
      </c>
      <c r="G343" s="2" t="s">
        <v>86</v>
      </c>
      <c r="H343" s="2" t="s">
        <v>23</v>
      </c>
      <c r="I343" s="2" t="s">
        <v>25</v>
      </c>
      <c r="J343" s="2" t="n">
        <v>62</v>
      </c>
      <c r="K343" s="32" t="s">
        <v>148</v>
      </c>
      <c r="L343" s="15" t="n">
        <f aca="false">SUM(V343:AB343)</f>
        <v>0.01539380400259</v>
      </c>
      <c r="M343" s="15" t="n">
        <f aca="false">MAX(O343:U343)</f>
        <v>14</v>
      </c>
      <c r="N343" s="15" t="n">
        <f aca="false">COUNTIF(M343,"&gt;9.9")</f>
        <v>1</v>
      </c>
      <c r="O343" s="2" t="n">
        <v>14</v>
      </c>
      <c r="V343" s="15" t="n">
        <f aca="false">PI()*POWER((O343/200),2)</f>
        <v>0.01539380400259</v>
      </c>
      <c r="W343" s="15" t="n">
        <f aca="false">PI()*POWER((P343/200),2)</f>
        <v>0</v>
      </c>
      <c r="X343" s="15" t="n">
        <f aca="false">PI()*POWER((Q343/200),2)</f>
        <v>0</v>
      </c>
      <c r="Y343" s="15" t="n">
        <f aca="false">PI()*POWER((R343/200),2)</f>
        <v>0</v>
      </c>
      <c r="Z343" s="15" t="n">
        <f aca="false">PI()*POWER((S343/200),2)</f>
        <v>0</v>
      </c>
      <c r="AA343" s="15" t="n">
        <f aca="false">PI()*POWER((T343/200),2)</f>
        <v>0</v>
      </c>
      <c r="AB343" s="15" t="n">
        <f aca="false">PI()*POWER((U343/200),2)</f>
        <v>0</v>
      </c>
    </row>
    <row r="344" customFormat="false" ht="15" hidden="false" customHeight="false" outlineLevel="0" collapsed="false">
      <c r="A344" s="2" t="s">
        <v>20</v>
      </c>
      <c r="B344" s="2" t="n">
        <v>3</v>
      </c>
      <c r="C344" s="9" t="n">
        <v>46264</v>
      </c>
      <c r="D344" s="2" t="n">
        <v>1</v>
      </c>
      <c r="E344" s="2" t="s">
        <v>85</v>
      </c>
      <c r="F344" s="2" t="s">
        <v>21</v>
      </c>
      <c r="G344" s="2" t="s">
        <v>86</v>
      </c>
      <c r="H344" s="2" t="s">
        <v>23</v>
      </c>
      <c r="I344" s="2" t="s">
        <v>25</v>
      </c>
      <c r="J344" s="2" t="n">
        <v>58</v>
      </c>
      <c r="K344" s="32" t="s">
        <v>148</v>
      </c>
      <c r="L344" s="15" t="n">
        <f aca="false">SUM(V344:AB344)</f>
        <v>0.0254469004940773</v>
      </c>
      <c r="M344" s="15" t="n">
        <f aca="false">MAX(O344:U344)</f>
        <v>18</v>
      </c>
      <c r="N344" s="15" t="n">
        <f aca="false">COUNTIF(M344,"&gt;9.9")</f>
        <v>1</v>
      </c>
      <c r="O344" s="2" t="n">
        <v>18</v>
      </c>
      <c r="V344" s="15" t="n">
        <f aca="false">PI()*POWER((O344/200),2)</f>
        <v>0.0254469004940773</v>
      </c>
      <c r="W344" s="15" t="n">
        <f aca="false">PI()*POWER((P344/200),2)</f>
        <v>0</v>
      </c>
      <c r="X344" s="15" t="n">
        <f aca="false">PI()*POWER((Q344/200),2)</f>
        <v>0</v>
      </c>
      <c r="Y344" s="15" t="n">
        <f aca="false">PI()*POWER((R344/200),2)</f>
        <v>0</v>
      </c>
      <c r="Z344" s="15" t="n">
        <f aca="false">PI()*POWER((S344/200),2)</f>
        <v>0</v>
      </c>
      <c r="AA344" s="15" t="n">
        <f aca="false">PI()*POWER((T344/200),2)</f>
        <v>0</v>
      </c>
      <c r="AB344" s="15" t="n">
        <f aca="false">PI()*POWER((U344/200),2)</f>
        <v>0</v>
      </c>
    </row>
    <row r="345" customFormat="false" ht="15" hidden="false" customHeight="false" outlineLevel="0" collapsed="false">
      <c r="A345" s="2" t="s">
        <v>20</v>
      </c>
      <c r="B345" s="2" t="n">
        <v>3</v>
      </c>
      <c r="C345" s="9" t="n">
        <v>46264</v>
      </c>
      <c r="D345" s="2" t="n">
        <v>1</v>
      </c>
      <c r="E345" s="2" t="s">
        <v>85</v>
      </c>
      <c r="F345" s="2" t="s">
        <v>21</v>
      </c>
      <c r="G345" s="2" t="s">
        <v>86</v>
      </c>
      <c r="H345" s="2" t="s">
        <v>23</v>
      </c>
      <c r="I345" s="2" t="s">
        <v>25</v>
      </c>
      <c r="J345" s="2" t="n">
        <v>68</v>
      </c>
      <c r="K345" s="32" t="s">
        <v>148</v>
      </c>
      <c r="L345" s="15" t="n">
        <f aca="false">SUM(V345:AB345)</f>
        <v>0.045238934211693</v>
      </c>
      <c r="M345" s="15" t="n">
        <f aca="false">MAX(O345:U345)</f>
        <v>24</v>
      </c>
      <c r="N345" s="15" t="n">
        <f aca="false">COUNTIF(M345,"&gt;9.9")</f>
        <v>1</v>
      </c>
      <c r="O345" s="2" t="n">
        <v>24</v>
      </c>
      <c r="V345" s="15" t="n">
        <f aca="false">PI()*POWER((O345/200),2)</f>
        <v>0.045238934211693</v>
      </c>
      <c r="W345" s="15" t="n">
        <f aca="false">PI()*POWER((P345/200),2)</f>
        <v>0</v>
      </c>
      <c r="X345" s="15" t="n">
        <f aca="false">PI()*POWER((Q345/200),2)</f>
        <v>0</v>
      </c>
      <c r="Y345" s="15" t="n">
        <f aca="false">PI()*POWER((R345/200),2)</f>
        <v>0</v>
      </c>
      <c r="Z345" s="15" t="n">
        <f aca="false">PI()*POWER((S345/200),2)</f>
        <v>0</v>
      </c>
      <c r="AA345" s="15" t="n">
        <f aca="false">PI()*POWER((T345/200),2)</f>
        <v>0</v>
      </c>
      <c r="AB345" s="15" t="n">
        <f aca="false">PI()*POWER((U345/200),2)</f>
        <v>0</v>
      </c>
    </row>
    <row r="346" customFormat="false" ht="15" hidden="false" customHeight="false" outlineLevel="0" collapsed="false">
      <c r="A346" s="2" t="s">
        <v>20</v>
      </c>
      <c r="B346" s="2" t="n">
        <v>3</v>
      </c>
      <c r="C346" s="9" t="n">
        <v>46264</v>
      </c>
      <c r="D346" s="2" t="n">
        <v>1</v>
      </c>
      <c r="E346" s="2" t="s">
        <v>85</v>
      </c>
      <c r="F346" s="2" t="s">
        <v>21</v>
      </c>
      <c r="G346" s="2" t="s">
        <v>86</v>
      </c>
      <c r="H346" s="2" t="s">
        <v>23</v>
      </c>
      <c r="I346" s="2" t="s">
        <v>25</v>
      </c>
      <c r="J346" s="2" t="n">
        <v>60</v>
      </c>
      <c r="K346" s="32" t="s">
        <v>148</v>
      </c>
      <c r="L346" s="15" t="n">
        <f aca="false">SUM(V346:AB346)</f>
        <v>0.502654824574367</v>
      </c>
      <c r="M346" s="15" t="n">
        <f aca="false">MAX(O346:U346)</f>
        <v>80</v>
      </c>
      <c r="N346" s="15" t="n">
        <f aca="false">COUNTIF(M346,"&gt;9.9")</f>
        <v>1</v>
      </c>
      <c r="O346" s="2" t="n">
        <v>80</v>
      </c>
      <c r="V346" s="15" t="n">
        <f aca="false">PI()*POWER((O346/200),2)</f>
        <v>0.502654824574367</v>
      </c>
      <c r="W346" s="15" t="n">
        <f aca="false">PI()*POWER((P346/200),2)</f>
        <v>0</v>
      </c>
      <c r="X346" s="15" t="n">
        <f aca="false">PI()*POWER((Q346/200),2)</f>
        <v>0</v>
      </c>
      <c r="Y346" s="15" t="n">
        <f aca="false">PI()*POWER((R346/200),2)</f>
        <v>0</v>
      </c>
      <c r="Z346" s="15" t="n">
        <f aca="false">PI()*POWER((S346/200),2)</f>
        <v>0</v>
      </c>
      <c r="AA346" s="15" t="n">
        <f aca="false">PI()*POWER((T346/200),2)</f>
        <v>0</v>
      </c>
      <c r="AB346" s="15" t="n">
        <f aca="false">PI()*POWER((U346/200),2)</f>
        <v>0</v>
      </c>
    </row>
    <row r="347" customFormat="false" ht="15" hidden="false" customHeight="false" outlineLevel="0" collapsed="false">
      <c r="A347" s="2" t="s">
        <v>20</v>
      </c>
      <c r="B347" s="2" t="n">
        <v>3</v>
      </c>
      <c r="C347" s="9" t="n">
        <v>46264</v>
      </c>
      <c r="D347" s="2" t="n">
        <v>1</v>
      </c>
      <c r="E347" s="2" t="s">
        <v>85</v>
      </c>
      <c r="F347" s="2" t="s">
        <v>21</v>
      </c>
      <c r="G347" s="2" t="s">
        <v>86</v>
      </c>
      <c r="H347" s="2" t="s">
        <v>23</v>
      </c>
      <c r="I347" s="2" t="s">
        <v>25</v>
      </c>
      <c r="J347" s="2" t="n">
        <v>6</v>
      </c>
      <c r="K347" s="32" t="s">
        <v>105</v>
      </c>
      <c r="L347" s="15" t="n">
        <f aca="false">SUM(V347:AB347)</f>
        <v>0.00125663706143592</v>
      </c>
      <c r="M347" s="15" t="n">
        <f aca="false">MAX(O347:U347)</f>
        <v>4</v>
      </c>
      <c r="N347" s="15" t="n">
        <f aca="false">COUNTIF(M347,"&gt;9.9")</f>
        <v>0</v>
      </c>
      <c r="O347" s="2" t="n">
        <v>4</v>
      </c>
      <c r="V347" s="15" t="n">
        <f aca="false">PI()*POWER((O347/200),2)</f>
        <v>0.00125663706143592</v>
      </c>
      <c r="W347" s="15" t="n">
        <f aca="false">PI()*POWER((P347/200),2)</f>
        <v>0</v>
      </c>
      <c r="X347" s="15" t="n">
        <f aca="false">PI()*POWER((Q347/200),2)</f>
        <v>0</v>
      </c>
      <c r="Y347" s="15" t="n">
        <f aca="false">PI()*POWER((R347/200),2)</f>
        <v>0</v>
      </c>
      <c r="Z347" s="15" t="n">
        <f aca="false">PI()*POWER((S347/200),2)</f>
        <v>0</v>
      </c>
      <c r="AA347" s="15" t="n">
        <f aca="false">PI()*POWER((T347/200),2)</f>
        <v>0</v>
      </c>
      <c r="AB347" s="15" t="n">
        <f aca="false">PI()*POWER((U347/200),2)</f>
        <v>0</v>
      </c>
    </row>
    <row r="348" customFormat="false" ht="15" hidden="false" customHeight="false" outlineLevel="0" collapsed="false">
      <c r="A348" s="2" t="s">
        <v>20</v>
      </c>
      <c r="B348" s="2" t="n">
        <v>3</v>
      </c>
      <c r="C348" s="9" t="n">
        <v>46264</v>
      </c>
      <c r="D348" s="2" t="n">
        <v>1</v>
      </c>
      <c r="E348" s="2" t="s">
        <v>85</v>
      </c>
      <c r="F348" s="2" t="s">
        <v>21</v>
      </c>
      <c r="G348" s="2" t="s">
        <v>86</v>
      </c>
      <c r="H348" s="2" t="s">
        <v>23</v>
      </c>
      <c r="I348" s="2" t="s">
        <v>25</v>
      </c>
      <c r="J348" s="2" t="n">
        <v>7</v>
      </c>
      <c r="K348" s="32" t="s">
        <v>105</v>
      </c>
      <c r="L348" s="15" t="n">
        <f aca="false">SUM(V348:AB348)</f>
        <v>0.00125663706143592</v>
      </c>
      <c r="M348" s="15" t="n">
        <f aca="false">MAX(O348:U348)</f>
        <v>4</v>
      </c>
      <c r="N348" s="15" t="n">
        <f aca="false">COUNTIF(M348,"&gt;9.9")</f>
        <v>0</v>
      </c>
      <c r="O348" s="2" t="n">
        <v>4</v>
      </c>
      <c r="V348" s="15" t="n">
        <f aca="false">PI()*POWER((O348/200),2)</f>
        <v>0.00125663706143592</v>
      </c>
      <c r="W348" s="15" t="n">
        <f aca="false">PI()*POWER((P348/200),2)</f>
        <v>0</v>
      </c>
      <c r="X348" s="15" t="n">
        <f aca="false">PI()*POWER((Q348/200),2)</f>
        <v>0</v>
      </c>
      <c r="Y348" s="15" t="n">
        <f aca="false">PI()*POWER((R348/200),2)</f>
        <v>0</v>
      </c>
      <c r="Z348" s="15" t="n">
        <f aca="false">PI()*POWER((S348/200),2)</f>
        <v>0</v>
      </c>
      <c r="AA348" s="15" t="n">
        <f aca="false">PI()*POWER((T348/200),2)</f>
        <v>0</v>
      </c>
      <c r="AB348" s="15" t="n">
        <f aca="false">PI()*POWER((U348/200),2)</f>
        <v>0</v>
      </c>
    </row>
    <row r="349" customFormat="false" ht="15" hidden="false" customHeight="false" outlineLevel="0" collapsed="false">
      <c r="A349" s="2" t="s">
        <v>20</v>
      </c>
      <c r="B349" s="2" t="n">
        <v>3</v>
      </c>
      <c r="C349" s="9" t="n">
        <v>46264</v>
      </c>
      <c r="D349" s="2" t="n">
        <v>1</v>
      </c>
      <c r="E349" s="2" t="s">
        <v>85</v>
      </c>
      <c r="F349" s="2" t="s">
        <v>21</v>
      </c>
      <c r="G349" s="2" t="s">
        <v>86</v>
      </c>
      <c r="H349" s="2" t="s">
        <v>23</v>
      </c>
      <c r="I349" s="2" t="s">
        <v>25</v>
      </c>
      <c r="J349" s="2" t="n">
        <v>9</v>
      </c>
      <c r="K349" s="32" t="s">
        <v>105</v>
      </c>
      <c r="L349" s="15" t="n">
        <f aca="false">SUM(V349:AB349)</f>
        <v>0.00125663706143592</v>
      </c>
      <c r="M349" s="15" t="n">
        <f aca="false">MAX(O349:U349)</f>
        <v>4</v>
      </c>
      <c r="N349" s="15" t="n">
        <f aca="false">COUNTIF(M349,"&gt;9.9")</f>
        <v>0</v>
      </c>
      <c r="O349" s="2" t="n">
        <v>4</v>
      </c>
      <c r="V349" s="15" t="n">
        <f aca="false">PI()*POWER((O349/200),2)</f>
        <v>0.00125663706143592</v>
      </c>
      <c r="W349" s="15" t="n">
        <f aca="false">PI()*POWER((P349/200),2)</f>
        <v>0</v>
      </c>
      <c r="X349" s="15" t="n">
        <f aca="false">PI()*POWER((Q349/200),2)</f>
        <v>0</v>
      </c>
      <c r="Y349" s="15" t="n">
        <f aca="false">PI()*POWER((R349/200),2)</f>
        <v>0</v>
      </c>
      <c r="Z349" s="15" t="n">
        <f aca="false">PI()*POWER((S349/200),2)</f>
        <v>0</v>
      </c>
      <c r="AA349" s="15" t="n">
        <f aca="false">PI()*POWER((T349/200),2)</f>
        <v>0</v>
      </c>
      <c r="AB349" s="15" t="n">
        <f aca="false">PI()*POWER((U349/200),2)</f>
        <v>0</v>
      </c>
    </row>
    <row r="350" customFormat="false" ht="15" hidden="false" customHeight="false" outlineLevel="0" collapsed="false">
      <c r="A350" s="2" t="s">
        <v>20</v>
      </c>
      <c r="B350" s="2" t="n">
        <v>3</v>
      </c>
      <c r="C350" s="9" t="n">
        <v>46264</v>
      </c>
      <c r="D350" s="2" t="n">
        <v>1</v>
      </c>
      <c r="E350" s="2" t="s">
        <v>85</v>
      </c>
      <c r="F350" s="2" t="s">
        <v>21</v>
      </c>
      <c r="G350" s="2" t="s">
        <v>86</v>
      </c>
      <c r="H350" s="2" t="s">
        <v>23</v>
      </c>
      <c r="I350" s="2" t="s">
        <v>25</v>
      </c>
      <c r="J350" s="2" t="n">
        <v>39</v>
      </c>
      <c r="K350" s="32" t="s">
        <v>105</v>
      </c>
      <c r="L350" s="15" t="n">
        <f aca="false">SUM(V350:AB350)</f>
        <v>0.00125663706143592</v>
      </c>
      <c r="M350" s="15" t="n">
        <f aca="false">MAX(O350:U350)</f>
        <v>4</v>
      </c>
      <c r="N350" s="15" t="n">
        <f aca="false">COUNTIF(M350,"&gt;9.9")</f>
        <v>0</v>
      </c>
      <c r="O350" s="2" t="n">
        <v>4</v>
      </c>
      <c r="V350" s="15" t="n">
        <f aca="false">PI()*POWER((O350/200),2)</f>
        <v>0.00125663706143592</v>
      </c>
      <c r="W350" s="15" t="n">
        <f aca="false">PI()*POWER((P350/200),2)</f>
        <v>0</v>
      </c>
      <c r="X350" s="15" t="n">
        <f aca="false">PI()*POWER((Q350/200),2)</f>
        <v>0</v>
      </c>
      <c r="Y350" s="15" t="n">
        <f aca="false">PI()*POWER((R350/200),2)</f>
        <v>0</v>
      </c>
      <c r="Z350" s="15" t="n">
        <f aca="false">PI()*POWER((S350/200),2)</f>
        <v>0</v>
      </c>
      <c r="AA350" s="15" t="n">
        <f aca="false">PI()*POWER((T350/200),2)</f>
        <v>0</v>
      </c>
      <c r="AB350" s="15" t="n">
        <f aca="false">PI()*POWER((U350/200),2)</f>
        <v>0</v>
      </c>
    </row>
    <row r="351" customFormat="false" ht="15" hidden="false" customHeight="false" outlineLevel="0" collapsed="false">
      <c r="A351" s="2" t="s">
        <v>20</v>
      </c>
      <c r="B351" s="2" t="n">
        <v>3</v>
      </c>
      <c r="C351" s="9" t="n">
        <v>46264</v>
      </c>
      <c r="D351" s="2" t="n">
        <v>1</v>
      </c>
      <c r="E351" s="2" t="s">
        <v>85</v>
      </c>
      <c r="F351" s="2" t="s">
        <v>21</v>
      </c>
      <c r="G351" s="2" t="s">
        <v>86</v>
      </c>
      <c r="H351" s="2" t="s">
        <v>23</v>
      </c>
      <c r="I351" s="2" t="s">
        <v>25</v>
      </c>
      <c r="J351" s="2" t="n">
        <v>17</v>
      </c>
      <c r="K351" s="32" t="s">
        <v>105</v>
      </c>
      <c r="L351" s="15" t="n">
        <f aca="false">SUM(V351:AB351)</f>
        <v>0.00322013246992954</v>
      </c>
      <c r="M351" s="15" t="n">
        <f aca="false">MAX(O351:U351)</f>
        <v>5</v>
      </c>
      <c r="N351" s="15" t="n">
        <f aca="false">COUNTIF(M351,"&gt;9.9")</f>
        <v>0</v>
      </c>
      <c r="O351" s="2" t="n">
        <v>5</v>
      </c>
      <c r="P351" s="2" t="n">
        <v>4</v>
      </c>
      <c r="V351" s="15" t="n">
        <f aca="false">PI()*POWER((O351/200),2)</f>
        <v>0.00196349540849362</v>
      </c>
      <c r="W351" s="15" t="n">
        <f aca="false">PI()*POWER((P351/200),2)</f>
        <v>0.00125663706143592</v>
      </c>
      <c r="X351" s="15" t="n">
        <f aca="false">PI()*POWER((Q351/200),2)</f>
        <v>0</v>
      </c>
      <c r="Y351" s="15" t="n">
        <f aca="false">PI()*POWER((R351/200),2)</f>
        <v>0</v>
      </c>
      <c r="Z351" s="15" t="n">
        <f aca="false">PI()*POWER((S351/200),2)</f>
        <v>0</v>
      </c>
      <c r="AA351" s="15" t="n">
        <f aca="false">PI()*POWER((T351/200),2)</f>
        <v>0</v>
      </c>
      <c r="AB351" s="15" t="n">
        <f aca="false">PI()*POWER((U351/200),2)</f>
        <v>0</v>
      </c>
    </row>
    <row r="352" customFormat="false" ht="15" hidden="false" customHeight="false" outlineLevel="0" collapsed="false">
      <c r="A352" s="2" t="s">
        <v>20</v>
      </c>
      <c r="B352" s="2" t="n">
        <v>3</v>
      </c>
      <c r="C352" s="9" t="n">
        <v>46264</v>
      </c>
      <c r="D352" s="2" t="n">
        <v>1</v>
      </c>
      <c r="E352" s="2" t="s">
        <v>85</v>
      </c>
      <c r="F352" s="2" t="s">
        <v>21</v>
      </c>
      <c r="G352" s="2" t="s">
        <v>86</v>
      </c>
      <c r="H352" s="2" t="s">
        <v>23</v>
      </c>
      <c r="I352" s="2" t="s">
        <v>25</v>
      </c>
      <c r="J352" s="2" t="n">
        <v>25</v>
      </c>
      <c r="K352" s="32" t="s">
        <v>105</v>
      </c>
      <c r="L352" s="15" t="n">
        <f aca="false">SUM(V352:AB352)</f>
        <v>0.00196349540849362</v>
      </c>
      <c r="M352" s="15" t="n">
        <f aca="false">MAX(O352:U352)</f>
        <v>5</v>
      </c>
      <c r="N352" s="15" t="n">
        <f aca="false">COUNTIF(M352,"&gt;9.9")</f>
        <v>0</v>
      </c>
      <c r="O352" s="2" t="n">
        <v>5</v>
      </c>
      <c r="V352" s="15" t="n">
        <f aca="false">PI()*POWER((O352/200),2)</f>
        <v>0.00196349540849362</v>
      </c>
      <c r="W352" s="15" t="n">
        <f aca="false">PI()*POWER((P352/200),2)</f>
        <v>0</v>
      </c>
      <c r="X352" s="15" t="n">
        <f aca="false">PI()*POWER((Q352/200),2)</f>
        <v>0</v>
      </c>
      <c r="Y352" s="15" t="n">
        <f aca="false">PI()*POWER((R352/200),2)</f>
        <v>0</v>
      </c>
      <c r="Z352" s="15" t="n">
        <f aca="false">PI()*POWER((S352/200),2)</f>
        <v>0</v>
      </c>
      <c r="AA352" s="15" t="n">
        <f aca="false">PI()*POWER((T352/200),2)</f>
        <v>0</v>
      </c>
      <c r="AB352" s="15" t="n">
        <f aca="false">PI()*POWER((U352/200),2)</f>
        <v>0</v>
      </c>
    </row>
    <row r="353" customFormat="false" ht="15" hidden="false" customHeight="false" outlineLevel="0" collapsed="false">
      <c r="A353" s="2" t="s">
        <v>20</v>
      </c>
      <c r="B353" s="2" t="n">
        <v>3</v>
      </c>
      <c r="C353" s="9" t="n">
        <v>46264</v>
      </c>
      <c r="D353" s="2" t="n">
        <v>1</v>
      </c>
      <c r="E353" s="2" t="s">
        <v>85</v>
      </c>
      <c r="F353" s="2" t="s">
        <v>21</v>
      </c>
      <c r="G353" s="2" t="s">
        <v>86</v>
      </c>
      <c r="H353" s="2" t="s">
        <v>23</v>
      </c>
      <c r="I353" s="2" t="s">
        <v>25</v>
      </c>
      <c r="J353" s="2" t="n">
        <v>29</v>
      </c>
      <c r="K353" s="32" t="s">
        <v>105</v>
      </c>
      <c r="L353" s="15" t="n">
        <f aca="false">SUM(V353:AB353)</f>
        <v>0.00196349540849362</v>
      </c>
      <c r="M353" s="15" t="n">
        <f aca="false">MAX(O353:U353)</f>
        <v>5</v>
      </c>
      <c r="N353" s="15" t="n">
        <f aca="false">COUNTIF(M353,"&gt;9.9")</f>
        <v>0</v>
      </c>
      <c r="O353" s="2" t="n">
        <v>5</v>
      </c>
      <c r="V353" s="15" t="n">
        <f aca="false">PI()*POWER((O353/200),2)</f>
        <v>0.00196349540849362</v>
      </c>
      <c r="W353" s="15" t="n">
        <f aca="false">PI()*POWER((P353/200),2)</f>
        <v>0</v>
      </c>
      <c r="X353" s="15" t="n">
        <f aca="false">PI()*POWER((Q353/200),2)</f>
        <v>0</v>
      </c>
      <c r="Y353" s="15" t="n">
        <f aca="false">PI()*POWER((R353/200),2)</f>
        <v>0</v>
      </c>
      <c r="Z353" s="15" t="n">
        <f aca="false">PI()*POWER((S353/200),2)</f>
        <v>0</v>
      </c>
      <c r="AA353" s="15" t="n">
        <f aca="false">PI()*POWER((T353/200),2)</f>
        <v>0</v>
      </c>
      <c r="AB353" s="15" t="n">
        <f aca="false">PI()*POWER((U353/200),2)</f>
        <v>0</v>
      </c>
    </row>
    <row r="354" customFormat="false" ht="15" hidden="false" customHeight="false" outlineLevel="0" collapsed="false">
      <c r="A354" s="2" t="s">
        <v>20</v>
      </c>
      <c r="B354" s="2" t="n">
        <v>3</v>
      </c>
      <c r="C354" s="9" t="n">
        <v>46264</v>
      </c>
      <c r="D354" s="2" t="n">
        <v>1</v>
      </c>
      <c r="E354" s="2" t="s">
        <v>85</v>
      </c>
      <c r="F354" s="2" t="s">
        <v>21</v>
      </c>
      <c r="G354" s="2" t="s">
        <v>86</v>
      </c>
      <c r="H354" s="2" t="s">
        <v>23</v>
      </c>
      <c r="I354" s="2" t="s">
        <v>25</v>
      </c>
      <c r="J354" s="2" t="n">
        <v>38</v>
      </c>
      <c r="K354" s="32" t="s">
        <v>105</v>
      </c>
      <c r="L354" s="15" t="n">
        <f aca="false">SUM(V354:AB354)</f>
        <v>0.00196349540849362</v>
      </c>
      <c r="M354" s="15" t="n">
        <f aca="false">MAX(O354:U354)</f>
        <v>5</v>
      </c>
      <c r="N354" s="15" t="n">
        <f aca="false">COUNTIF(M354,"&gt;9.9")</f>
        <v>0</v>
      </c>
      <c r="O354" s="2" t="n">
        <v>5</v>
      </c>
      <c r="V354" s="15" t="n">
        <f aca="false">PI()*POWER((O354/200),2)</f>
        <v>0.00196349540849362</v>
      </c>
      <c r="W354" s="15" t="n">
        <f aca="false">PI()*POWER((P354/200),2)</f>
        <v>0</v>
      </c>
      <c r="X354" s="15" t="n">
        <f aca="false">PI()*POWER((Q354/200),2)</f>
        <v>0</v>
      </c>
      <c r="Y354" s="15" t="n">
        <f aca="false">PI()*POWER((R354/200),2)</f>
        <v>0</v>
      </c>
      <c r="Z354" s="15" t="n">
        <f aca="false">PI()*POWER((S354/200),2)</f>
        <v>0</v>
      </c>
      <c r="AA354" s="15" t="n">
        <f aca="false">PI()*POWER((T354/200),2)</f>
        <v>0</v>
      </c>
      <c r="AB354" s="15" t="n">
        <f aca="false">PI()*POWER((U354/200),2)</f>
        <v>0</v>
      </c>
    </row>
    <row r="355" customFormat="false" ht="15" hidden="false" customHeight="false" outlineLevel="0" collapsed="false">
      <c r="A355" s="2" t="s">
        <v>20</v>
      </c>
      <c r="B355" s="2" t="n">
        <v>3</v>
      </c>
      <c r="C355" s="9" t="n">
        <v>46264</v>
      </c>
      <c r="D355" s="2" t="n">
        <v>1</v>
      </c>
      <c r="E355" s="2" t="s">
        <v>85</v>
      </c>
      <c r="F355" s="2" t="s">
        <v>21</v>
      </c>
      <c r="G355" s="2" t="s">
        <v>86</v>
      </c>
      <c r="H355" s="2" t="s">
        <v>23</v>
      </c>
      <c r="I355" s="2" t="s">
        <v>25</v>
      </c>
      <c r="J355" s="2" t="n">
        <v>42</v>
      </c>
      <c r="K355" s="32" t="s">
        <v>105</v>
      </c>
      <c r="L355" s="15" t="n">
        <f aca="false">SUM(V355:AB355)</f>
        <v>0.00196349540849362</v>
      </c>
      <c r="M355" s="15" t="n">
        <f aca="false">MAX(O355:U355)</f>
        <v>5</v>
      </c>
      <c r="N355" s="15" t="n">
        <f aca="false">COUNTIF(M355,"&gt;9.9")</f>
        <v>0</v>
      </c>
      <c r="O355" s="2" t="n">
        <v>5</v>
      </c>
      <c r="V355" s="15" t="n">
        <f aca="false">PI()*POWER((O355/200),2)</f>
        <v>0.00196349540849362</v>
      </c>
      <c r="W355" s="15" t="n">
        <f aca="false">PI()*POWER((P355/200),2)</f>
        <v>0</v>
      </c>
      <c r="X355" s="15" t="n">
        <f aca="false">PI()*POWER((Q355/200),2)</f>
        <v>0</v>
      </c>
      <c r="Y355" s="15" t="n">
        <f aca="false">PI()*POWER((R355/200),2)</f>
        <v>0</v>
      </c>
      <c r="Z355" s="15" t="n">
        <f aca="false">PI()*POWER((S355/200),2)</f>
        <v>0</v>
      </c>
      <c r="AA355" s="15" t="n">
        <f aca="false">PI()*POWER((T355/200),2)</f>
        <v>0</v>
      </c>
      <c r="AB355" s="15" t="n">
        <f aca="false">PI()*POWER((U355/200),2)</f>
        <v>0</v>
      </c>
    </row>
    <row r="356" customFormat="false" ht="15" hidden="false" customHeight="false" outlineLevel="0" collapsed="false">
      <c r="A356" s="2" t="s">
        <v>20</v>
      </c>
      <c r="B356" s="2" t="n">
        <v>3</v>
      </c>
      <c r="C356" s="9" t="n">
        <v>46264</v>
      </c>
      <c r="D356" s="2" t="n">
        <v>1</v>
      </c>
      <c r="E356" s="2" t="s">
        <v>85</v>
      </c>
      <c r="F356" s="2" t="s">
        <v>21</v>
      </c>
      <c r="G356" s="2" t="s">
        <v>86</v>
      </c>
      <c r="H356" s="2" t="s">
        <v>23</v>
      </c>
      <c r="I356" s="2" t="s">
        <v>25</v>
      </c>
      <c r="J356" s="2" t="n">
        <v>16</v>
      </c>
      <c r="K356" s="32" t="s">
        <v>105</v>
      </c>
      <c r="L356" s="15" t="n">
        <f aca="false">SUM(V356:AB356)</f>
        <v>0.00282743338823081</v>
      </c>
      <c r="M356" s="15" t="n">
        <f aca="false">MAX(O356:U356)</f>
        <v>6</v>
      </c>
      <c r="N356" s="15" t="n">
        <f aca="false">COUNTIF(M356,"&gt;9.9")</f>
        <v>0</v>
      </c>
      <c r="O356" s="2" t="n">
        <v>6</v>
      </c>
      <c r="V356" s="15" t="n">
        <f aca="false">PI()*POWER((O356/200),2)</f>
        <v>0.00282743338823081</v>
      </c>
      <c r="W356" s="15" t="n">
        <f aca="false">PI()*POWER((P356/200),2)</f>
        <v>0</v>
      </c>
      <c r="X356" s="15" t="n">
        <f aca="false">PI()*POWER((Q356/200),2)</f>
        <v>0</v>
      </c>
      <c r="Y356" s="15" t="n">
        <f aca="false">PI()*POWER((R356/200),2)</f>
        <v>0</v>
      </c>
      <c r="Z356" s="15" t="n">
        <f aca="false">PI()*POWER((S356/200),2)</f>
        <v>0</v>
      </c>
      <c r="AA356" s="15" t="n">
        <f aca="false">PI()*POWER((T356/200),2)</f>
        <v>0</v>
      </c>
      <c r="AB356" s="15" t="n">
        <f aca="false">PI()*POWER((U356/200),2)</f>
        <v>0</v>
      </c>
    </row>
    <row r="357" customFormat="false" ht="15" hidden="false" customHeight="false" outlineLevel="0" collapsed="false">
      <c r="A357" s="2" t="s">
        <v>20</v>
      </c>
      <c r="B357" s="2" t="n">
        <v>3</v>
      </c>
      <c r="C357" s="9" t="n">
        <v>46264</v>
      </c>
      <c r="D357" s="2" t="n">
        <v>1</v>
      </c>
      <c r="E357" s="2" t="s">
        <v>85</v>
      </c>
      <c r="F357" s="2" t="s">
        <v>21</v>
      </c>
      <c r="G357" s="2" t="s">
        <v>86</v>
      </c>
      <c r="H357" s="2" t="s">
        <v>23</v>
      </c>
      <c r="I357" s="2" t="s">
        <v>25</v>
      </c>
      <c r="J357" s="2" t="n">
        <v>18</v>
      </c>
      <c r="K357" s="32" t="s">
        <v>105</v>
      </c>
      <c r="L357" s="15" t="n">
        <f aca="false">SUM(V357:AB357)</f>
        <v>0.00675442420521806</v>
      </c>
      <c r="M357" s="15" t="n">
        <f aca="false">MAX(O357:U357)</f>
        <v>6</v>
      </c>
      <c r="N357" s="15" t="n">
        <f aca="false">COUNTIF(M357,"&gt;9.9")</f>
        <v>0</v>
      </c>
      <c r="O357" s="2" t="n">
        <v>6</v>
      </c>
      <c r="P357" s="2" t="n">
        <v>5</v>
      </c>
      <c r="Q357" s="2" t="n">
        <v>5</v>
      </c>
      <c r="V357" s="15" t="n">
        <f aca="false">PI()*POWER((O357/200),2)</f>
        <v>0.00282743338823081</v>
      </c>
      <c r="W357" s="15" t="n">
        <f aca="false">PI()*POWER((P357/200),2)</f>
        <v>0.00196349540849362</v>
      </c>
      <c r="X357" s="15" t="n">
        <f aca="false">PI()*POWER((Q357/200),2)</f>
        <v>0.00196349540849362</v>
      </c>
      <c r="Y357" s="15" t="n">
        <f aca="false">PI()*POWER((R357/200),2)</f>
        <v>0</v>
      </c>
      <c r="Z357" s="15" t="n">
        <f aca="false">PI()*POWER((S357/200),2)</f>
        <v>0</v>
      </c>
      <c r="AA357" s="15" t="n">
        <f aca="false">PI()*POWER((T357/200),2)</f>
        <v>0</v>
      </c>
      <c r="AB357" s="15" t="n">
        <f aca="false">PI()*POWER((U357/200),2)</f>
        <v>0</v>
      </c>
    </row>
    <row r="358" customFormat="false" ht="15" hidden="false" customHeight="false" outlineLevel="0" collapsed="false">
      <c r="A358" s="2" t="s">
        <v>20</v>
      </c>
      <c r="B358" s="2" t="n">
        <v>3</v>
      </c>
      <c r="C358" s="9" t="n">
        <v>46264</v>
      </c>
      <c r="D358" s="2" t="n">
        <v>1</v>
      </c>
      <c r="E358" s="2" t="s">
        <v>85</v>
      </c>
      <c r="F358" s="2" t="s">
        <v>21</v>
      </c>
      <c r="G358" s="2" t="s">
        <v>86</v>
      </c>
      <c r="H358" s="2" t="s">
        <v>23</v>
      </c>
      <c r="I358" s="2" t="s">
        <v>25</v>
      </c>
      <c r="J358" s="2" t="n">
        <v>32</v>
      </c>
      <c r="K358" s="32" t="s">
        <v>105</v>
      </c>
      <c r="L358" s="15" t="n">
        <f aca="false">SUM(V358:AB358)</f>
        <v>0.00282743338823081</v>
      </c>
      <c r="M358" s="15" t="n">
        <f aca="false">MAX(O358:U358)</f>
        <v>6</v>
      </c>
      <c r="N358" s="15" t="n">
        <f aca="false">COUNTIF(M358,"&gt;9.9")</f>
        <v>0</v>
      </c>
      <c r="O358" s="2" t="n">
        <v>6</v>
      </c>
      <c r="V358" s="15" t="n">
        <f aca="false">PI()*POWER((O358/200),2)</f>
        <v>0.00282743338823081</v>
      </c>
      <c r="W358" s="15" t="n">
        <f aca="false">PI()*POWER((P358/200),2)</f>
        <v>0</v>
      </c>
      <c r="X358" s="15" t="n">
        <f aca="false">PI()*POWER((Q358/200),2)</f>
        <v>0</v>
      </c>
      <c r="Y358" s="15" t="n">
        <f aca="false">PI()*POWER((R358/200),2)</f>
        <v>0</v>
      </c>
      <c r="Z358" s="15" t="n">
        <f aca="false">PI()*POWER((S358/200),2)</f>
        <v>0</v>
      </c>
      <c r="AA358" s="15" t="n">
        <f aca="false">PI()*POWER((T358/200),2)</f>
        <v>0</v>
      </c>
      <c r="AB358" s="15" t="n">
        <f aca="false">PI()*POWER((U358/200),2)</f>
        <v>0</v>
      </c>
    </row>
    <row r="359" customFormat="false" ht="15" hidden="false" customHeight="false" outlineLevel="0" collapsed="false">
      <c r="A359" s="2" t="s">
        <v>20</v>
      </c>
      <c r="B359" s="2" t="n">
        <v>3</v>
      </c>
      <c r="C359" s="9" t="n">
        <v>46264</v>
      </c>
      <c r="D359" s="2" t="n">
        <v>1</v>
      </c>
      <c r="E359" s="2" t="s">
        <v>85</v>
      </c>
      <c r="F359" s="2" t="s">
        <v>21</v>
      </c>
      <c r="G359" s="2" t="s">
        <v>86</v>
      </c>
      <c r="H359" s="2" t="s">
        <v>23</v>
      </c>
      <c r="I359" s="2" t="s">
        <v>25</v>
      </c>
      <c r="J359" s="2" t="n">
        <v>33</v>
      </c>
      <c r="K359" s="32" t="s">
        <v>105</v>
      </c>
      <c r="L359" s="15" t="n">
        <f aca="false">SUM(V359:AB359)</f>
        <v>0.00282743338823081</v>
      </c>
      <c r="M359" s="15" t="n">
        <f aca="false">MAX(O359:U359)</f>
        <v>6</v>
      </c>
      <c r="N359" s="15" t="n">
        <f aca="false">COUNTIF(M359,"&gt;9.9")</f>
        <v>0</v>
      </c>
      <c r="O359" s="2" t="n">
        <v>6</v>
      </c>
      <c r="V359" s="15" t="n">
        <f aca="false">PI()*POWER((O359/200),2)</f>
        <v>0.00282743338823081</v>
      </c>
      <c r="W359" s="15" t="n">
        <f aca="false">PI()*POWER((P359/200),2)</f>
        <v>0</v>
      </c>
      <c r="X359" s="15" t="n">
        <f aca="false">PI()*POWER((Q359/200),2)</f>
        <v>0</v>
      </c>
      <c r="Y359" s="15" t="n">
        <f aca="false">PI()*POWER((R359/200),2)</f>
        <v>0</v>
      </c>
      <c r="Z359" s="15" t="n">
        <f aca="false">PI()*POWER((S359/200),2)</f>
        <v>0</v>
      </c>
      <c r="AA359" s="15" t="n">
        <f aca="false">PI()*POWER((T359/200),2)</f>
        <v>0</v>
      </c>
      <c r="AB359" s="15" t="n">
        <f aca="false">PI()*POWER((U359/200),2)</f>
        <v>0</v>
      </c>
    </row>
    <row r="360" customFormat="false" ht="15" hidden="false" customHeight="false" outlineLevel="0" collapsed="false">
      <c r="A360" s="2" t="s">
        <v>20</v>
      </c>
      <c r="B360" s="2" t="n">
        <v>3</v>
      </c>
      <c r="C360" s="9" t="n">
        <v>46264</v>
      </c>
      <c r="D360" s="2" t="n">
        <v>1</v>
      </c>
      <c r="E360" s="2" t="s">
        <v>85</v>
      </c>
      <c r="F360" s="2" t="s">
        <v>21</v>
      </c>
      <c r="G360" s="2" t="s">
        <v>86</v>
      </c>
      <c r="H360" s="2" t="s">
        <v>23</v>
      </c>
      <c r="I360" s="2" t="s">
        <v>25</v>
      </c>
      <c r="J360" s="2" t="n">
        <v>40</v>
      </c>
      <c r="K360" s="32" t="s">
        <v>105</v>
      </c>
      <c r="L360" s="15" t="n">
        <f aca="false">SUM(V360:AB360)</f>
        <v>0.00282743338823081</v>
      </c>
      <c r="M360" s="15" t="n">
        <f aca="false">MAX(O360:U360)</f>
        <v>6</v>
      </c>
      <c r="N360" s="15" t="n">
        <f aca="false">COUNTIF(M360,"&gt;9.9")</f>
        <v>0</v>
      </c>
      <c r="O360" s="2" t="n">
        <v>6</v>
      </c>
      <c r="V360" s="15" t="n">
        <f aca="false">PI()*POWER((O360/200),2)</f>
        <v>0.00282743338823081</v>
      </c>
      <c r="W360" s="15" t="n">
        <f aca="false">PI()*POWER((P360/200),2)</f>
        <v>0</v>
      </c>
      <c r="X360" s="15" t="n">
        <f aca="false">PI()*POWER((Q360/200),2)</f>
        <v>0</v>
      </c>
      <c r="Y360" s="15" t="n">
        <f aca="false">PI()*POWER((R360/200),2)</f>
        <v>0</v>
      </c>
      <c r="Z360" s="15" t="n">
        <f aca="false">PI()*POWER((S360/200),2)</f>
        <v>0</v>
      </c>
      <c r="AA360" s="15" t="n">
        <f aca="false">PI()*POWER((T360/200),2)</f>
        <v>0</v>
      </c>
      <c r="AB360" s="15" t="n">
        <f aca="false">PI()*POWER((U360/200),2)</f>
        <v>0</v>
      </c>
    </row>
    <row r="361" customFormat="false" ht="15" hidden="false" customHeight="false" outlineLevel="0" collapsed="false">
      <c r="A361" s="2" t="s">
        <v>20</v>
      </c>
      <c r="B361" s="2" t="n">
        <v>3</v>
      </c>
      <c r="C361" s="9" t="n">
        <v>46264</v>
      </c>
      <c r="D361" s="2" t="n">
        <v>1</v>
      </c>
      <c r="E361" s="2" t="s">
        <v>85</v>
      </c>
      <c r="F361" s="2" t="s">
        <v>21</v>
      </c>
      <c r="G361" s="2" t="s">
        <v>86</v>
      </c>
      <c r="H361" s="2" t="s">
        <v>23</v>
      </c>
      <c r="I361" s="2" t="s">
        <v>25</v>
      </c>
      <c r="J361" s="2" t="n">
        <v>41</v>
      </c>
      <c r="K361" s="32" t="s">
        <v>105</v>
      </c>
      <c r="L361" s="15" t="n">
        <f aca="false">SUM(V361:AB361)</f>
        <v>0.00282743338823081</v>
      </c>
      <c r="M361" s="15" t="n">
        <f aca="false">MAX(O361:U361)</f>
        <v>6</v>
      </c>
      <c r="N361" s="15" t="n">
        <f aca="false">COUNTIF(M361,"&gt;9.9")</f>
        <v>0</v>
      </c>
      <c r="O361" s="2" t="n">
        <v>6</v>
      </c>
      <c r="V361" s="15" t="n">
        <f aca="false">PI()*POWER((O361/200),2)</f>
        <v>0.00282743338823081</v>
      </c>
      <c r="W361" s="15" t="n">
        <f aca="false">PI()*POWER((P361/200),2)</f>
        <v>0</v>
      </c>
      <c r="X361" s="15" t="n">
        <f aca="false">PI()*POWER((Q361/200),2)</f>
        <v>0</v>
      </c>
      <c r="Y361" s="15" t="n">
        <f aca="false">PI()*POWER((R361/200),2)</f>
        <v>0</v>
      </c>
      <c r="Z361" s="15" t="n">
        <f aca="false">PI()*POWER((S361/200),2)</f>
        <v>0</v>
      </c>
      <c r="AA361" s="15" t="n">
        <f aca="false">PI()*POWER((T361/200),2)</f>
        <v>0</v>
      </c>
      <c r="AB361" s="15" t="n">
        <f aca="false">PI()*POWER((U361/200),2)</f>
        <v>0</v>
      </c>
    </row>
    <row r="362" customFormat="false" ht="15" hidden="false" customHeight="false" outlineLevel="0" collapsed="false">
      <c r="A362" s="2" t="s">
        <v>20</v>
      </c>
      <c r="B362" s="2" t="n">
        <v>3</v>
      </c>
      <c r="C362" s="9" t="n">
        <v>46264</v>
      </c>
      <c r="D362" s="2" t="n">
        <v>1</v>
      </c>
      <c r="E362" s="2" t="s">
        <v>85</v>
      </c>
      <c r="F362" s="2" t="s">
        <v>21</v>
      </c>
      <c r="G362" s="2" t="s">
        <v>86</v>
      </c>
      <c r="H362" s="2" t="s">
        <v>23</v>
      </c>
      <c r="I362" s="2" t="s">
        <v>25</v>
      </c>
      <c r="J362" s="2" t="n">
        <v>1</v>
      </c>
      <c r="K362" s="32" t="s">
        <v>105</v>
      </c>
      <c r="L362" s="15" t="n">
        <f aca="false">SUM(V362:AB362)</f>
        <v>0.0038484510006475</v>
      </c>
      <c r="M362" s="15" t="n">
        <f aca="false">MAX(O362:U362)</f>
        <v>7</v>
      </c>
      <c r="N362" s="15" t="n">
        <f aca="false">COUNTIF(M362,"&gt;9.9")</f>
        <v>0</v>
      </c>
      <c r="O362" s="2" t="n">
        <v>7</v>
      </c>
      <c r="V362" s="15" t="n">
        <f aca="false">PI()*POWER((O362/200),2)</f>
        <v>0.0038484510006475</v>
      </c>
      <c r="W362" s="15" t="n">
        <f aca="false">PI()*POWER((P362/200),2)</f>
        <v>0</v>
      </c>
      <c r="X362" s="15" t="n">
        <f aca="false">PI()*POWER((Q362/200),2)</f>
        <v>0</v>
      </c>
      <c r="Y362" s="15" t="n">
        <f aca="false">PI()*POWER((R362/200),2)</f>
        <v>0</v>
      </c>
      <c r="Z362" s="15" t="n">
        <f aca="false">PI()*POWER((S362/200),2)</f>
        <v>0</v>
      </c>
      <c r="AA362" s="15" t="n">
        <f aca="false">PI()*POWER((T362/200),2)</f>
        <v>0</v>
      </c>
      <c r="AB362" s="15" t="n">
        <f aca="false">PI()*POWER((U362/200),2)</f>
        <v>0</v>
      </c>
    </row>
    <row r="363" customFormat="false" ht="15" hidden="false" customHeight="false" outlineLevel="0" collapsed="false">
      <c r="A363" s="2" t="s">
        <v>20</v>
      </c>
      <c r="B363" s="2" t="n">
        <v>3</v>
      </c>
      <c r="C363" s="9" t="n">
        <v>46264</v>
      </c>
      <c r="D363" s="2" t="n">
        <v>1</v>
      </c>
      <c r="E363" s="2" t="s">
        <v>85</v>
      </c>
      <c r="F363" s="2" t="s">
        <v>21</v>
      </c>
      <c r="G363" s="2" t="s">
        <v>86</v>
      </c>
      <c r="H363" s="2" t="s">
        <v>23</v>
      </c>
      <c r="I363" s="2" t="s">
        <v>25</v>
      </c>
      <c r="J363" s="2" t="n">
        <v>4</v>
      </c>
      <c r="K363" s="32" t="s">
        <v>105</v>
      </c>
      <c r="L363" s="15" t="n">
        <f aca="false">SUM(V363:AB363)</f>
        <v>0.0038484510006475</v>
      </c>
      <c r="M363" s="15" t="n">
        <f aca="false">MAX(O363:U363)</f>
        <v>7</v>
      </c>
      <c r="N363" s="15" t="n">
        <f aca="false">COUNTIF(M363,"&gt;9.9")</f>
        <v>0</v>
      </c>
      <c r="O363" s="2" t="n">
        <v>7</v>
      </c>
      <c r="V363" s="15" t="n">
        <f aca="false">PI()*POWER((O363/200),2)</f>
        <v>0.0038484510006475</v>
      </c>
      <c r="W363" s="15" t="n">
        <f aca="false">PI()*POWER((P363/200),2)</f>
        <v>0</v>
      </c>
      <c r="X363" s="15" t="n">
        <f aca="false">PI()*POWER((Q363/200),2)</f>
        <v>0</v>
      </c>
      <c r="Y363" s="15" t="n">
        <f aca="false">PI()*POWER((R363/200),2)</f>
        <v>0</v>
      </c>
      <c r="Z363" s="15" t="n">
        <f aca="false">PI()*POWER((S363/200),2)</f>
        <v>0</v>
      </c>
      <c r="AA363" s="15" t="n">
        <f aca="false">PI()*POWER((T363/200),2)</f>
        <v>0</v>
      </c>
      <c r="AB363" s="15" t="n">
        <f aca="false">PI()*POWER((U363/200),2)</f>
        <v>0</v>
      </c>
    </row>
    <row r="364" customFormat="false" ht="15" hidden="false" customHeight="false" outlineLevel="0" collapsed="false">
      <c r="A364" s="2" t="s">
        <v>20</v>
      </c>
      <c r="B364" s="2" t="n">
        <v>3</v>
      </c>
      <c r="C364" s="9" t="n">
        <v>46264</v>
      </c>
      <c r="D364" s="2" t="n">
        <v>1</v>
      </c>
      <c r="E364" s="2" t="s">
        <v>85</v>
      </c>
      <c r="F364" s="2" t="s">
        <v>21</v>
      </c>
      <c r="G364" s="2" t="s">
        <v>86</v>
      </c>
      <c r="H364" s="2" t="s">
        <v>23</v>
      </c>
      <c r="I364" s="2" t="s">
        <v>25</v>
      </c>
      <c r="J364" s="2" t="n">
        <v>5</v>
      </c>
      <c r="K364" s="32" t="s">
        <v>105</v>
      </c>
      <c r="L364" s="15" t="n">
        <f aca="false">SUM(V364:AB364)</f>
        <v>0.0038484510006475</v>
      </c>
      <c r="M364" s="15" t="n">
        <f aca="false">MAX(O364:U364)</f>
        <v>7</v>
      </c>
      <c r="N364" s="15" t="n">
        <f aca="false">COUNTIF(M364,"&gt;9.9")</f>
        <v>0</v>
      </c>
      <c r="O364" s="2" t="n">
        <v>7</v>
      </c>
      <c r="V364" s="15" t="n">
        <f aca="false">PI()*POWER((O364/200),2)</f>
        <v>0.0038484510006475</v>
      </c>
      <c r="W364" s="15" t="n">
        <f aca="false">PI()*POWER((P364/200),2)</f>
        <v>0</v>
      </c>
      <c r="X364" s="15" t="n">
        <f aca="false">PI()*POWER((Q364/200),2)</f>
        <v>0</v>
      </c>
      <c r="Y364" s="15" t="n">
        <f aca="false">PI()*POWER((R364/200),2)</f>
        <v>0</v>
      </c>
      <c r="Z364" s="15" t="n">
        <f aca="false">PI()*POWER((S364/200),2)</f>
        <v>0</v>
      </c>
      <c r="AA364" s="15" t="n">
        <f aca="false">PI()*POWER((T364/200),2)</f>
        <v>0</v>
      </c>
      <c r="AB364" s="15" t="n">
        <f aca="false">PI()*POWER((U364/200),2)</f>
        <v>0</v>
      </c>
    </row>
    <row r="365" customFormat="false" ht="15" hidden="false" customHeight="false" outlineLevel="0" collapsed="false">
      <c r="A365" s="2" t="s">
        <v>20</v>
      </c>
      <c r="B365" s="2" t="n">
        <v>3</v>
      </c>
      <c r="C365" s="9" t="n">
        <v>46264</v>
      </c>
      <c r="D365" s="2" t="n">
        <v>1</v>
      </c>
      <c r="E365" s="2" t="s">
        <v>85</v>
      </c>
      <c r="F365" s="2" t="s">
        <v>21</v>
      </c>
      <c r="G365" s="2" t="s">
        <v>86</v>
      </c>
      <c r="H365" s="2" t="s">
        <v>23</v>
      </c>
      <c r="I365" s="2" t="s">
        <v>25</v>
      </c>
      <c r="J365" s="2" t="n">
        <v>20</v>
      </c>
      <c r="K365" s="32" t="s">
        <v>105</v>
      </c>
      <c r="L365" s="15" t="n">
        <f aca="false">SUM(V365:AB365)</f>
        <v>0.0038484510006475</v>
      </c>
      <c r="M365" s="15" t="n">
        <f aca="false">MAX(O365:U365)</f>
        <v>7</v>
      </c>
      <c r="N365" s="15" t="n">
        <f aca="false">COUNTIF(M365,"&gt;9.9")</f>
        <v>0</v>
      </c>
      <c r="O365" s="2" t="n">
        <v>7</v>
      </c>
      <c r="V365" s="15" t="n">
        <f aca="false">PI()*POWER((O365/200),2)</f>
        <v>0.0038484510006475</v>
      </c>
      <c r="W365" s="15" t="n">
        <f aca="false">PI()*POWER((P365/200),2)</f>
        <v>0</v>
      </c>
      <c r="X365" s="15" t="n">
        <f aca="false">PI()*POWER((Q365/200),2)</f>
        <v>0</v>
      </c>
      <c r="Y365" s="15" t="n">
        <f aca="false">PI()*POWER((R365/200),2)</f>
        <v>0</v>
      </c>
      <c r="Z365" s="15" t="n">
        <f aca="false">PI()*POWER((S365/200),2)</f>
        <v>0</v>
      </c>
      <c r="AA365" s="15" t="n">
        <f aca="false">PI()*POWER((T365/200),2)</f>
        <v>0</v>
      </c>
      <c r="AB365" s="15" t="n">
        <f aca="false">PI()*POWER((U365/200),2)</f>
        <v>0</v>
      </c>
    </row>
    <row r="366" customFormat="false" ht="15" hidden="false" customHeight="false" outlineLevel="0" collapsed="false">
      <c r="A366" s="2" t="s">
        <v>20</v>
      </c>
      <c r="B366" s="2" t="n">
        <v>3</v>
      </c>
      <c r="C366" s="9" t="n">
        <v>46264</v>
      </c>
      <c r="D366" s="2" t="n">
        <v>1</v>
      </c>
      <c r="E366" s="2" t="s">
        <v>85</v>
      </c>
      <c r="F366" s="2" t="s">
        <v>21</v>
      </c>
      <c r="G366" s="2" t="s">
        <v>86</v>
      </c>
      <c r="H366" s="2" t="s">
        <v>23</v>
      </c>
      <c r="I366" s="2" t="s">
        <v>25</v>
      </c>
      <c r="J366" s="2" t="n">
        <v>24</v>
      </c>
      <c r="K366" s="32" t="s">
        <v>105</v>
      </c>
      <c r="L366" s="15" t="n">
        <f aca="false">SUM(V366:AB366)</f>
        <v>0.0038484510006475</v>
      </c>
      <c r="M366" s="15" t="n">
        <f aca="false">MAX(O366:U366)</f>
        <v>7</v>
      </c>
      <c r="N366" s="15" t="n">
        <f aca="false">COUNTIF(M366,"&gt;9.9")</f>
        <v>0</v>
      </c>
      <c r="O366" s="2" t="n">
        <v>7</v>
      </c>
      <c r="V366" s="15" t="n">
        <f aca="false">PI()*POWER((O366/200),2)</f>
        <v>0.0038484510006475</v>
      </c>
      <c r="W366" s="15" t="n">
        <f aca="false">PI()*POWER((P366/200),2)</f>
        <v>0</v>
      </c>
      <c r="X366" s="15" t="n">
        <f aca="false">PI()*POWER((Q366/200),2)</f>
        <v>0</v>
      </c>
      <c r="Y366" s="15" t="n">
        <f aca="false">PI()*POWER((R366/200),2)</f>
        <v>0</v>
      </c>
      <c r="Z366" s="15" t="n">
        <f aca="false">PI()*POWER((S366/200),2)</f>
        <v>0</v>
      </c>
      <c r="AA366" s="15" t="n">
        <f aca="false">PI()*POWER((T366/200),2)</f>
        <v>0</v>
      </c>
      <c r="AB366" s="15" t="n">
        <f aca="false">PI()*POWER((U366/200),2)</f>
        <v>0</v>
      </c>
    </row>
    <row r="367" customFormat="false" ht="15" hidden="false" customHeight="false" outlineLevel="0" collapsed="false">
      <c r="A367" s="2" t="s">
        <v>20</v>
      </c>
      <c r="B367" s="2" t="n">
        <v>3</v>
      </c>
      <c r="C367" s="9" t="n">
        <v>46264</v>
      </c>
      <c r="D367" s="2" t="n">
        <v>1</v>
      </c>
      <c r="E367" s="2" t="s">
        <v>85</v>
      </c>
      <c r="F367" s="2" t="s">
        <v>21</v>
      </c>
      <c r="G367" s="2" t="s">
        <v>86</v>
      </c>
      <c r="H367" s="2" t="s">
        <v>23</v>
      </c>
      <c r="I367" s="2" t="s">
        <v>25</v>
      </c>
      <c r="J367" s="2" t="n">
        <v>34</v>
      </c>
      <c r="K367" s="32" t="s">
        <v>105</v>
      </c>
      <c r="L367" s="15" t="n">
        <f aca="false">SUM(V367:AB367)</f>
        <v>0.0038484510006475</v>
      </c>
      <c r="M367" s="15" t="n">
        <f aca="false">MAX(O367:U367)</f>
        <v>7</v>
      </c>
      <c r="N367" s="15" t="n">
        <f aca="false">COUNTIF(M367,"&gt;9.9")</f>
        <v>0</v>
      </c>
      <c r="O367" s="2" t="n">
        <v>7</v>
      </c>
      <c r="V367" s="15" t="n">
        <f aca="false">PI()*POWER((O367/200),2)</f>
        <v>0.0038484510006475</v>
      </c>
      <c r="W367" s="15" t="n">
        <f aca="false">PI()*POWER((P367/200),2)</f>
        <v>0</v>
      </c>
      <c r="X367" s="15" t="n">
        <f aca="false">PI()*POWER((Q367/200),2)</f>
        <v>0</v>
      </c>
      <c r="Y367" s="15" t="n">
        <f aca="false">PI()*POWER((R367/200),2)</f>
        <v>0</v>
      </c>
      <c r="Z367" s="15" t="n">
        <f aca="false">PI()*POWER((S367/200),2)</f>
        <v>0</v>
      </c>
      <c r="AA367" s="15" t="n">
        <f aca="false">PI()*POWER((T367/200),2)</f>
        <v>0</v>
      </c>
      <c r="AB367" s="15" t="n">
        <f aca="false">PI()*POWER((U367/200),2)</f>
        <v>0</v>
      </c>
    </row>
    <row r="368" customFormat="false" ht="15" hidden="false" customHeight="false" outlineLevel="0" collapsed="false">
      <c r="A368" s="2" t="s">
        <v>20</v>
      </c>
      <c r="B368" s="2" t="n">
        <v>3</v>
      </c>
      <c r="C368" s="9" t="n">
        <v>46264</v>
      </c>
      <c r="D368" s="2" t="n">
        <v>1</v>
      </c>
      <c r="E368" s="2" t="s">
        <v>85</v>
      </c>
      <c r="F368" s="2" t="s">
        <v>21</v>
      </c>
      <c r="G368" s="2" t="s">
        <v>86</v>
      </c>
      <c r="H368" s="2" t="s">
        <v>23</v>
      </c>
      <c r="I368" s="2" t="s">
        <v>25</v>
      </c>
      <c r="J368" s="2" t="n">
        <v>35</v>
      </c>
      <c r="K368" s="32" t="s">
        <v>105</v>
      </c>
      <c r="L368" s="15" t="n">
        <f aca="false">SUM(V368:AB368)</f>
        <v>0.0038484510006475</v>
      </c>
      <c r="M368" s="15" t="n">
        <f aca="false">MAX(O368:U368)</f>
        <v>7</v>
      </c>
      <c r="N368" s="15" t="n">
        <f aca="false">COUNTIF(M368,"&gt;9.9")</f>
        <v>0</v>
      </c>
      <c r="O368" s="2" t="n">
        <v>7</v>
      </c>
      <c r="V368" s="15" t="n">
        <f aca="false">PI()*POWER((O368/200),2)</f>
        <v>0.0038484510006475</v>
      </c>
      <c r="W368" s="15" t="n">
        <f aca="false">PI()*POWER((P368/200),2)</f>
        <v>0</v>
      </c>
      <c r="X368" s="15" t="n">
        <f aca="false">PI()*POWER((Q368/200),2)</f>
        <v>0</v>
      </c>
      <c r="Y368" s="15" t="n">
        <f aca="false">PI()*POWER((R368/200),2)</f>
        <v>0</v>
      </c>
      <c r="Z368" s="15" t="n">
        <f aca="false">PI()*POWER((S368/200),2)</f>
        <v>0</v>
      </c>
      <c r="AA368" s="15" t="n">
        <f aca="false">PI()*POWER((T368/200),2)</f>
        <v>0</v>
      </c>
      <c r="AB368" s="15" t="n">
        <f aca="false">PI()*POWER((U368/200),2)</f>
        <v>0</v>
      </c>
    </row>
    <row r="369" customFormat="false" ht="15" hidden="false" customHeight="false" outlineLevel="0" collapsed="false">
      <c r="A369" s="2" t="s">
        <v>20</v>
      </c>
      <c r="B369" s="2" t="n">
        <v>3</v>
      </c>
      <c r="C369" s="9" t="n">
        <v>46264</v>
      </c>
      <c r="D369" s="2" t="n">
        <v>1</v>
      </c>
      <c r="E369" s="2" t="s">
        <v>85</v>
      </c>
      <c r="F369" s="2" t="s">
        <v>21</v>
      </c>
      <c r="G369" s="2" t="s">
        <v>86</v>
      </c>
      <c r="H369" s="2" t="s">
        <v>23</v>
      </c>
      <c r="I369" s="2" t="s">
        <v>25</v>
      </c>
      <c r="J369" s="2" t="n">
        <v>22</v>
      </c>
      <c r="K369" s="32" t="s">
        <v>105</v>
      </c>
      <c r="L369" s="15" t="n">
        <f aca="false">SUM(V369:AB369)</f>
        <v>0.00502654824574367</v>
      </c>
      <c r="M369" s="15" t="n">
        <f aca="false">MAX(O369:U369)</f>
        <v>8</v>
      </c>
      <c r="N369" s="15" t="n">
        <f aca="false">COUNTIF(M369,"&gt;9.9")</f>
        <v>0</v>
      </c>
      <c r="O369" s="2" t="n">
        <v>8</v>
      </c>
      <c r="V369" s="15" t="n">
        <f aca="false">PI()*POWER((O369/200),2)</f>
        <v>0.00502654824574367</v>
      </c>
      <c r="W369" s="15" t="n">
        <f aca="false">PI()*POWER((P369/200),2)</f>
        <v>0</v>
      </c>
      <c r="X369" s="15" t="n">
        <f aca="false">PI()*POWER((Q369/200),2)</f>
        <v>0</v>
      </c>
      <c r="Y369" s="15" t="n">
        <f aca="false">PI()*POWER((R369/200),2)</f>
        <v>0</v>
      </c>
      <c r="Z369" s="15" t="n">
        <f aca="false">PI()*POWER((S369/200),2)</f>
        <v>0</v>
      </c>
      <c r="AA369" s="15" t="n">
        <f aca="false">PI()*POWER((T369/200),2)</f>
        <v>0</v>
      </c>
      <c r="AB369" s="15" t="n">
        <f aca="false">PI()*POWER((U369/200),2)</f>
        <v>0</v>
      </c>
    </row>
    <row r="370" customFormat="false" ht="15" hidden="false" customHeight="false" outlineLevel="0" collapsed="false">
      <c r="A370" s="2" t="s">
        <v>20</v>
      </c>
      <c r="B370" s="2" t="n">
        <v>3</v>
      </c>
      <c r="C370" s="9" t="n">
        <v>46264</v>
      </c>
      <c r="D370" s="2" t="n">
        <v>1</v>
      </c>
      <c r="E370" s="2" t="s">
        <v>85</v>
      </c>
      <c r="F370" s="2" t="s">
        <v>21</v>
      </c>
      <c r="G370" s="2" t="s">
        <v>86</v>
      </c>
      <c r="H370" s="2" t="s">
        <v>23</v>
      </c>
      <c r="I370" s="2" t="s">
        <v>25</v>
      </c>
      <c r="J370" s="2" t="n">
        <v>28</v>
      </c>
      <c r="K370" s="32" t="s">
        <v>105</v>
      </c>
      <c r="L370" s="15" t="n">
        <f aca="false">SUM(V370:AB370)</f>
        <v>0.00502654824574367</v>
      </c>
      <c r="M370" s="15" t="n">
        <f aca="false">MAX(O370:U370)</f>
        <v>8</v>
      </c>
      <c r="N370" s="15" t="n">
        <f aca="false">COUNTIF(M370,"&gt;9.9")</f>
        <v>0</v>
      </c>
      <c r="O370" s="2" t="n">
        <v>8</v>
      </c>
      <c r="V370" s="15" t="n">
        <f aca="false">PI()*POWER((O370/200),2)</f>
        <v>0.00502654824574367</v>
      </c>
      <c r="W370" s="15" t="n">
        <f aca="false">PI()*POWER((P370/200),2)</f>
        <v>0</v>
      </c>
      <c r="X370" s="15" t="n">
        <f aca="false">PI()*POWER((Q370/200),2)</f>
        <v>0</v>
      </c>
      <c r="Y370" s="15" t="n">
        <f aca="false">PI()*POWER((R370/200),2)</f>
        <v>0</v>
      </c>
      <c r="Z370" s="15" t="n">
        <f aca="false">PI()*POWER((S370/200),2)</f>
        <v>0</v>
      </c>
      <c r="AA370" s="15" t="n">
        <f aca="false">PI()*POWER((T370/200),2)</f>
        <v>0</v>
      </c>
      <c r="AB370" s="15" t="n">
        <f aca="false">PI()*POWER((U370/200),2)</f>
        <v>0</v>
      </c>
    </row>
    <row r="371" customFormat="false" ht="15" hidden="false" customHeight="false" outlineLevel="0" collapsed="false">
      <c r="A371" s="2" t="s">
        <v>20</v>
      </c>
      <c r="B371" s="2" t="n">
        <v>3</v>
      </c>
      <c r="C371" s="9" t="n">
        <v>46264</v>
      </c>
      <c r="D371" s="2" t="n">
        <v>1</v>
      </c>
      <c r="E371" s="2" t="s">
        <v>85</v>
      </c>
      <c r="F371" s="2" t="s">
        <v>21</v>
      </c>
      <c r="G371" s="2" t="s">
        <v>86</v>
      </c>
      <c r="H371" s="2" t="s">
        <v>23</v>
      </c>
      <c r="I371" s="2" t="s">
        <v>25</v>
      </c>
      <c r="J371" s="2" t="n">
        <v>21</v>
      </c>
      <c r="K371" s="32" t="s">
        <v>105</v>
      </c>
      <c r="L371" s="15" t="n">
        <f aca="false">SUM(V371:AB371)</f>
        <v>0.00636172512351933</v>
      </c>
      <c r="M371" s="15" t="n">
        <f aca="false">MAX(O371:U371)</f>
        <v>9</v>
      </c>
      <c r="N371" s="15" t="n">
        <f aca="false">COUNTIF(M371,"&gt;9.9")</f>
        <v>0</v>
      </c>
      <c r="O371" s="2" t="n">
        <v>9</v>
      </c>
      <c r="V371" s="15" t="n">
        <f aca="false">PI()*POWER((O371/200),2)</f>
        <v>0.00636172512351933</v>
      </c>
      <c r="W371" s="15" t="n">
        <f aca="false">PI()*POWER((P371/200),2)</f>
        <v>0</v>
      </c>
      <c r="X371" s="15" t="n">
        <f aca="false">PI()*POWER((Q371/200),2)</f>
        <v>0</v>
      </c>
      <c r="Y371" s="15" t="n">
        <f aca="false">PI()*POWER((R371/200),2)</f>
        <v>0</v>
      </c>
      <c r="Z371" s="15" t="n">
        <f aca="false">PI()*POWER((S371/200),2)</f>
        <v>0</v>
      </c>
      <c r="AA371" s="15" t="n">
        <f aca="false">PI()*POWER((T371/200),2)</f>
        <v>0</v>
      </c>
      <c r="AB371" s="15" t="n">
        <f aca="false">PI()*POWER((U371/200),2)</f>
        <v>0</v>
      </c>
    </row>
    <row r="372" customFormat="false" ht="15" hidden="false" customHeight="false" outlineLevel="0" collapsed="false">
      <c r="A372" s="2" t="s">
        <v>20</v>
      </c>
      <c r="B372" s="2" t="n">
        <v>3</v>
      </c>
      <c r="C372" s="9" t="n">
        <v>46264</v>
      </c>
      <c r="D372" s="2" t="n">
        <v>1</v>
      </c>
      <c r="E372" s="2" t="s">
        <v>85</v>
      </c>
      <c r="F372" s="2" t="s">
        <v>21</v>
      </c>
      <c r="G372" s="2" t="s">
        <v>86</v>
      </c>
      <c r="H372" s="2" t="s">
        <v>23</v>
      </c>
      <c r="I372" s="2" t="s">
        <v>25</v>
      </c>
      <c r="J372" s="2" t="n">
        <v>26</v>
      </c>
      <c r="K372" s="32" t="s">
        <v>105</v>
      </c>
      <c r="L372" s="15" t="n">
        <f aca="false">SUM(V372:AB372)</f>
        <v>0.00636172512351933</v>
      </c>
      <c r="M372" s="15" t="n">
        <f aca="false">MAX(O372:U372)</f>
        <v>9</v>
      </c>
      <c r="N372" s="15" t="n">
        <f aca="false">COUNTIF(M372,"&gt;9.9")</f>
        <v>0</v>
      </c>
      <c r="O372" s="2" t="n">
        <v>9</v>
      </c>
      <c r="V372" s="15" t="n">
        <f aca="false">PI()*POWER((O372/200),2)</f>
        <v>0.00636172512351933</v>
      </c>
      <c r="W372" s="15" t="n">
        <f aca="false">PI()*POWER((P372/200),2)</f>
        <v>0</v>
      </c>
      <c r="X372" s="15" t="n">
        <f aca="false">PI()*POWER((Q372/200),2)</f>
        <v>0</v>
      </c>
      <c r="Y372" s="15" t="n">
        <f aca="false">PI()*POWER((R372/200),2)</f>
        <v>0</v>
      </c>
      <c r="Z372" s="15" t="n">
        <f aca="false">PI()*POWER((S372/200),2)</f>
        <v>0</v>
      </c>
      <c r="AA372" s="15" t="n">
        <f aca="false">PI()*POWER((T372/200),2)</f>
        <v>0</v>
      </c>
      <c r="AB372" s="15" t="n">
        <f aca="false">PI()*POWER((U372/200),2)</f>
        <v>0</v>
      </c>
    </row>
    <row r="373" customFormat="false" ht="15" hidden="false" customHeight="false" outlineLevel="0" collapsed="false">
      <c r="A373" s="2" t="s">
        <v>20</v>
      </c>
      <c r="B373" s="2" t="n">
        <v>3</v>
      </c>
      <c r="C373" s="9" t="n">
        <v>46264</v>
      </c>
      <c r="D373" s="2" t="n">
        <v>1</v>
      </c>
      <c r="E373" s="2" t="s">
        <v>85</v>
      </c>
      <c r="F373" s="2" t="s">
        <v>21</v>
      </c>
      <c r="G373" s="2" t="s">
        <v>86</v>
      </c>
      <c r="H373" s="2" t="s">
        <v>23</v>
      </c>
      <c r="I373" s="2" t="s">
        <v>25</v>
      </c>
      <c r="J373" s="2" t="n">
        <v>31</v>
      </c>
      <c r="K373" s="32" t="s">
        <v>105</v>
      </c>
      <c r="L373" s="15" t="n">
        <f aca="false">SUM(V373:AB373)</f>
        <v>0.00636172512351933</v>
      </c>
      <c r="M373" s="15" t="n">
        <f aca="false">MAX(O373:U373)</f>
        <v>9</v>
      </c>
      <c r="N373" s="15" t="n">
        <f aca="false">COUNTIF(M373,"&gt;9.9")</f>
        <v>0</v>
      </c>
      <c r="O373" s="2" t="n">
        <v>9</v>
      </c>
      <c r="V373" s="15" t="n">
        <f aca="false">PI()*POWER((O373/200),2)</f>
        <v>0.00636172512351933</v>
      </c>
      <c r="W373" s="15" t="n">
        <f aca="false">PI()*POWER((P373/200),2)</f>
        <v>0</v>
      </c>
      <c r="X373" s="15" t="n">
        <f aca="false">PI()*POWER((Q373/200),2)</f>
        <v>0</v>
      </c>
      <c r="Y373" s="15" t="n">
        <f aca="false">PI()*POWER((R373/200),2)</f>
        <v>0</v>
      </c>
      <c r="Z373" s="15" t="n">
        <f aca="false">PI()*POWER((S373/200),2)</f>
        <v>0</v>
      </c>
      <c r="AA373" s="15" t="n">
        <f aca="false">PI()*POWER((T373/200),2)</f>
        <v>0</v>
      </c>
      <c r="AB373" s="15" t="n">
        <f aca="false">PI()*POWER((U373/200),2)</f>
        <v>0</v>
      </c>
    </row>
    <row r="374" customFormat="false" ht="15" hidden="false" customHeight="false" outlineLevel="0" collapsed="false">
      <c r="A374" s="2" t="s">
        <v>20</v>
      </c>
      <c r="B374" s="2" t="n">
        <v>3</v>
      </c>
      <c r="C374" s="9" t="n">
        <v>46264</v>
      </c>
      <c r="D374" s="2" t="n">
        <v>1</v>
      </c>
      <c r="E374" s="2" t="s">
        <v>85</v>
      </c>
      <c r="F374" s="2" t="s">
        <v>21</v>
      </c>
      <c r="G374" s="2" t="s">
        <v>86</v>
      </c>
      <c r="H374" s="2" t="s">
        <v>23</v>
      </c>
      <c r="I374" s="2" t="s">
        <v>25</v>
      </c>
      <c r="J374" s="2" t="n">
        <v>36</v>
      </c>
      <c r="K374" s="32" t="s">
        <v>105</v>
      </c>
      <c r="L374" s="15" t="n">
        <f aca="false">SUM(V374:AB374)</f>
        <v>0.00636172512351933</v>
      </c>
      <c r="M374" s="15" t="n">
        <f aca="false">MAX(O374:U374)</f>
        <v>9</v>
      </c>
      <c r="N374" s="15" t="n">
        <f aca="false">COUNTIF(M374,"&gt;9.9")</f>
        <v>0</v>
      </c>
      <c r="O374" s="2" t="n">
        <v>9</v>
      </c>
      <c r="V374" s="15" t="n">
        <f aca="false">PI()*POWER((O374/200),2)</f>
        <v>0.00636172512351933</v>
      </c>
      <c r="W374" s="15" t="n">
        <f aca="false">PI()*POWER((P374/200),2)</f>
        <v>0</v>
      </c>
      <c r="X374" s="15" t="n">
        <f aca="false">PI()*POWER((Q374/200),2)</f>
        <v>0</v>
      </c>
      <c r="Y374" s="15" t="n">
        <f aca="false">PI()*POWER((R374/200),2)</f>
        <v>0</v>
      </c>
      <c r="Z374" s="15" t="n">
        <f aca="false">PI()*POWER((S374/200),2)</f>
        <v>0</v>
      </c>
      <c r="AA374" s="15" t="n">
        <f aca="false">PI()*POWER((T374/200),2)</f>
        <v>0</v>
      </c>
      <c r="AB374" s="15" t="n">
        <f aca="false">PI()*POWER((U374/200),2)</f>
        <v>0</v>
      </c>
    </row>
    <row r="375" customFormat="false" ht="15" hidden="false" customHeight="false" outlineLevel="0" collapsed="false">
      <c r="A375" s="2" t="s">
        <v>20</v>
      </c>
      <c r="B375" s="2" t="n">
        <v>3</v>
      </c>
      <c r="C375" s="9" t="n">
        <v>46264</v>
      </c>
      <c r="D375" s="2" t="n">
        <v>1</v>
      </c>
      <c r="E375" s="2" t="s">
        <v>85</v>
      </c>
      <c r="F375" s="2" t="s">
        <v>21</v>
      </c>
      <c r="G375" s="2" t="s">
        <v>86</v>
      </c>
      <c r="H375" s="2" t="s">
        <v>23</v>
      </c>
      <c r="I375" s="2" t="s">
        <v>25</v>
      </c>
      <c r="J375" s="2" t="n">
        <v>3</v>
      </c>
      <c r="K375" s="32" t="s">
        <v>105</v>
      </c>
      <c r="L375" s="15" t="n">
        <f aca="false">SUM(V375:AB375)</f>
        <v>0.0142157067574938</v>
      </c>
      <c r="M375" s="15" t="n">
        <f aca="false">MAX(O375:U375)</f>
        <v>10</v>
      </c>
      <c r="N375" s="15" t="n">
        <f aca="false">COUNTIF(M375,"&gt;9.9")</f>
        <v>1</v>
      </c>
      <c r="O375" s="2" t="n">
        <v>10</v>
      </c>
      <c r="P375" s="2" t="n">
        <v>9</v>
      </c>
      <c r="V375" s="15" t="n">
        <f aca="false">PI()*POWER((O375/200),2)</f>
        <v>0.00785398163397448</v>
      </c>
      <c r="W375" s="15" t="n">
        <f aca="false">PI()*POWER((P375/200),2)</f>
        <v>0.00636172512351933</v>
      </c>
      <c r="X375" s="15" t="n">
        <f aca="false">PI()*POWER((Q375/200),2)</f>
        <v>0</v>
      </c>
      <c r="Y375" s="15" t="n">
        <f aca="false">PI()*POWER((R375/200),2)</f>
        <v>0</v>
      </c>
      <c r="Z375" s="15" t="n">
        <f aca="false">PI()*POWER((S375/200),2)</f>
        <v>0</v>
      </c>
      <c r="AA375" s="15" t="n">
        <f aca="false">PI()*POWER((T375/200),2)</f>
        <v>0</v>
      </c>
      <c r="AB375" s="15" t="n">
        <f aca="false">PI()*POWER((U375/200),2)</f>
        <v>0</v>
      </c>
    </row>
    <row r="376" customFormat="false" ht="15" hidden="false" customHeight="false" outlineLevel="0" collapsed="false">
      <c r="A376" s="2" t="s">
        <v>20</v>
      </c>
      <c r="B376" s="2" t="n">
        <v>3</v>
      </c>
      <c r="C376" s="9" t="n">
        <v>46264</v>
      </c>
      <c r="D376" s="2" t="n">
        <v>1</v>
      </c>
      <c r="E376" s="2" t="s">
        <v>85</v>
      </c>
      <c r="F376" s="2" t="s">
        <v>21</v>
      </c>
      <c r="G376" s="2" t="s">
        <v>86</v>
      </c>
      <c r="H376" s="2" t="s">
        <v>23</v>
      </c>
      <c r="I376" s="2" t="s">
        <v>25</v>
      </c>
      <c r="J376" s="2" t="n">
        <v>23</v>
      </c>
      <c r="K376" s="32" t="s">
        <v>105</v>
      </c>
      <c r="L376" s="15" t="n">
        <f aca="false">SUM(V376:AB376)</f>
        <v>0.00950331777710912</v>
      </c>
      <c r="M376" s="15" t="n">
        <f aca="false">MAX(O376:U376)</f>
        <v>11</v>
      </c>
      <c r="N376" s="15" t="n">
        <f aca="false">COUNTIF(M376,"&gt;9.9")</f>
        <v>1</v>
      </c>
      <c r="O376" s="2" t="n">
        <v>11</v>
      </c>
      <c r="V376" s="15" t="n">
        <f aca="false">PI()*POWER((O376/200),2)</f>
        <v>0.00950331777710912</v>
      </c>
      <c r="W376" s="15" t="n">
        <f aca="false">PI()*POWER((P376/200),2)</f>
        <v>0</v>
      </c>
      <c r="X376" s="15" t="n">
        <f aca="false">PI()*POWER((Q376/200),2)</f>
        <v>0</v>
      </c>
      <c r="Y376" s="15" t="n">
        <f aca="false">PI()*POWER((R376/200),2)</f>
        <v>0</v>
      </c>
      <c r="Z376" s="15" t="n">
        <f aca="false">PI()*POWER((S376/200),2)</f>
        <v>0</v>
      </c>
      <c r="AA376" s="15" t="n">
        <f aca="false">PI()*POWER((T376/200),2)</f>
        <v>0</v>
      </c>
      <c r="AB376" s="15" t="n">
        <f aca="false">PI()*POWER((U376/200),2)</f>
        <v>0</v>
      </c>
    </row>
    <row r="377" customFormat="false" ht="15" hidden="false" customHeight="false" outlineLevel="0" collapsed="false">
      <c r="A377" s="2" t="s">
        <v>20</v>
      </c>
      <c r="B377" s="2" t="n">
        <v>3</v>
      </c>
      <c r="C377" s="9" t="n">
        <v>46264</v>
      </c>
      <c r="D377" s="2" t="n">
        <v>1</v>
      </c>
      <c r="E377" s="2" t="s">
        <v>85</v>
      </c>
      <c r="F377" s="2" t="s">
        <v>21</v>
      </c>
      <c r="G377" s="2" t="s">
        <v>86</v>
      </c>
      <c r="H377" s="2" t="s">
        <v>23</v>
      </c>
      <c r="I377" s="2" t="s">
        <v>25</v>
      </c>
      <c r="J377" s="2" t="n">
        <v>30</v>
      </c>
      <c r="K377" s="32" t="s">
        <v>105</v>
      </c>
      <c r="L377" s="15" t="n">
        <f aca="false">SUM(V377:AB377)</f>
        <v>0.00950331777710912</v>
      </c>
      <c r="M377" s="15" t="n">
        <f aca="false">MAX(O377:U377)</f>
        <v>11</v>
      </c>
      <c r="N377" s="15" t="n">
        <f aca="false">COUNTIF(M377,"&gt;9.9")</f>
        <v>1</v>
      </c>
      <c r="O377" s="2" t="n">
        <v>11</v>
      </c>
      <c r="V377" s="15" t="n">
        <f aca="false">PI()*POWER((O377/200),2)</f>
        <v>0.00950331777710912</v>
      </c>
      <c r="W377" s="15" t="n">
        <f aca="false">PI()*POWER((P377/200),2)</f>
        <v>0</v>
      </c>
      <c r="X377" s="15" t="n">
        <f aca="false">PI()*POWER((Q377/200),2)</f>
        <v>0</v>
      </c>
      <c r="Y377" s="15" t="n">
        <f aca="false">PI()*POWER((R377/200),2)</f>
        <v>0</v>
      </c>
      <c r="Z377" s="15" t="n">
        <f aca="false">PI()*POWER((S377/200),2)</f>
        <v>0</v>
      </c>
      <c r="AA377" s="15" t="n">
        <f aca="false">PI()*POWER((T377/200),2)</f>
        <v>0</v>
      </c>
      <c r="AB377" s="15" t="n">
        <f aca="false">PI()*POWER((U377/200),2)</f>
        <v>0</v>
      </c>
    </row>
    <row r="378" customFormat="false" ht="15" hidden="false" customHeight="false" outlineLevel="0" collapsed="false">
      <c r="A378" s="2" t="s">
        <v>20</v>
      </c>
      <c r="B378" s="2" t="n">
        <v>3</v>
      </c>
      <c r="C378" s="9" t="n">
        <v>46264</v>
      </c>
      <c r="D378" s="2" t="n">
        <v>1</v>
      </c>
      <c r="E378" s="2" t="s">
        <v>85</v>
      </c>
      <c r="F378" s="2" t="s">
        <v>21</v>
      </c>
      <c r="G378" s="2" t="s">
        <v>86</v>
      </c>
      <c r="H378" s="2" t="s">
        <v>23</v>
      </c>
      <c r="I378" s="2" t="s">
        <v>25</v>
      </c>
      <c r="J378" s="2" t="n">
        <v>11</v>
      </c>
      <c r="K378" s="32" t="s">
        <v>105</v>
      </c>
      <c r="L378" s="15" t="n">
        <f aca="false">SUM(V378:AB378)</f>
        <v>0.0113097335529233</v>
      </c>
      <c r="M378" s="15" t="n">
        <f aca="false">MAX(O378:U378)</f>
        <v>12</v>
      </c>
      <c r="N378" s="15" t="n">
        <f aca="false">COUNTIF(M378,"&gt;9.9")</f>
        <v>1</v>
      </c>
      <c r="O378" s="2" t="n">
        <v>12</v>
      </c>
      <c r="V378" s="15" t="n">
        <f aca="false">PI()*POWER((O378/200),2)</f>
        <v>0.0113097335529233</v>
      </c>
      <c r="W378" s="15" t="n">
        <f aca="false">PI()*POWER((P378/200),2)</f>
        <v>0</v>
      </c>
      <c r="X378" s="15" t="n">
        <f aca="false">PI()*POWER((Q378/200),2)</f>
        <v>0</v>
      </c>
      <c r="Y378" s="15" t="n">
        <f aca="false">PI()*POWER((R378/200),2)</f>
        <v>0</v>
      </c>
      <c r="Z378" s="15" t="n">
        <f aca="false">PI()*POWER((S378/200),2)</f>
        <v>0</v>
      </c>
      <c r="AA378" s="15" t="n">
        <f aca="false">PI()*POWER((T378/200),2)</f>
        <v>0</v>
      </c>
      <c r="AB378" s="15" t="n">
        <f aca="false">PI()*POWER((U378/200),2)</f>
        <v>0</v>
      </c>
    </row>
    <row r="379" customFormat="false" ht="15" hidden="false" customHeight="false" outlineLevel="0" collapsed="false">
      <c r="A379" s="2" t="s">
        <v>20</v>
      </c>
      <c r="B379" s="2" t="n">
        <v>3</v>
      </c>
      <c r="C379" s="9" t="n">
        <v>46264</v>
      </c>
      <c r="D379" s="2" t="n">
        <v>1</v>
      </c>
      <c r="E379" s="2" t="s">
        <v>85</v>
      </c>
      <c r="F379" s="2" t="s">
        <v>21</v>
      </c>
      <c r="G379" s="2" t="s">
        <v>86</v>
      </c>
      <c r="H379" s="2" t="s">
        <v>23</v>
      </c>
      <c r="I379" s="2" t="s">
        <v>25</v>
      </c>
      <c r="J379" s="2" t="n">
        <v>19</v>
      </c>
      <c r="K379" s="32" t="s">
        <v>105</v>
      </c>
      <c r="L379" s="15" t="n">
        <f aca="false">SUM(V379:AB379)</f>
        <v>0.0132732289614169</v>
      </c>
      <c r="M379" s="15" t="n">
        <f aca="false">MAX(O379:U379)</f>
        <v>12</v>
      </c>
      <c r="N379" s="15" t="n">
        <f aca="false">COUNTIF(M379,"&gt;9.9")</f>
        <v>1</v>
      </c>
      <c r="O379" s="2" t="n">
        <v>12</v>
      </c>
      <c r="P379" s="2" t="n">
        <v>5</v>
      </c>
      <c r="V379" s="15" t="n">
        <f aca="false">PI()*POWER((O379/200),2)</f>
        <v>0.0113097335529233</v>
      </c>
      <c r="W379" s="15" t="n">
        <f aca="false">PI()*POWER((P379/200),2)</f>
        <v>0.00196349540849362</v>
      </c>
      <c r="X379" s="15" t="n">
        <f aca="false">PI()*POWER((Q379/200),2)</f>
        <v>0</v>
      </c>
      <c r="Y379" s="15" t="n">
        <f aca="false">PI()*POWER((R379/200),2)</f>
        <v>0</v>
      </c>
      <c r="Z379" s="15" t="n">
        <f aca="false">PI()*POWER((S379/200),2)</f>
        <v>0</v>
      </c>
      <c r="AA379" s="15" t="n">
        <f aca="false">PI()*POWER((T379/200),2)</f>
        <v>0</v>
      </c>
      <c r="AB379" s="15" t="n">
        <f aca="false">PI()*POWER((U379/200),2)</f>
        <v>0</v>
      </c>
    </row>
    <row r="380" customFormat="false" ht="15" hidden="false" customHeight="false" outlineLevel="0" collapsed="false">
      <c r="A380" s="2" t="s">
        <v>20</v>
      </c>
      <c r="B380" s="2" t="n">
        <v>3</v>
      </c>
      <c r="C380" s="9" t="n">
        <v>46264</v>
      </c>
      <c r="D380" s="2" t="n">
        <v>1</v>
      </c>
      <c r="E380" s="2" t="s">
        <v>85</v>
      </c>
      <c r="F380" s="2" t="s">
        <v>21</v>
      </c>
      <c r="G380" s="2" t="s">
        <v>86</v>
      </c>
      <c r="H380" s="2" t="s">
        <v>23</v>
      </c>
      <c r="I380" s="2" t="s">
        <v>25</v>
      </c>
      <c r="J380" s="2" t="n">
        <v>8</v>
      </c>
      <c r="K380" s="32" t="s">
        <v>105</v>
      </c>
      <c r="L380" s="15" t="n">
        <f aca="false">SUM(V380:AB380)</f>
        <v>0.0132732289614169</v>
      </c>
      <c r="M380" s="15" t="n">
        <f aca="false">MAX(O380:U380)</f>
        <v>13</v>
      </c>
      <c r="N380" s="15" t="n">
        <f aca="false">COUNTIF(M380,"&gt;9.9")</f>
        <v>1</v>
      </c>
      <c r="O380" s="2" t="n">
        <v>13</v>
      </c>
      <c r="V380" s="15" t="n">
        <f aca="false">PI()*POWER((O380/200),2)</f>
        <v>0.0132732289614169</v>
      </c>
      <c r="W380" s="15" t="n">
        <f aca="false">PI()*POWER((P380/200),2)</f>
        <v>0</v>
      </c>
      <c r="X380" s="15" t="n">
        <f aca="false">PI()*POWER((Q380/200),2)</f>
        <v>0</v>
      </c>
      <c r="Y380" s="15" t="n">
        <f aca="false">PI()*POWER((R380/200),2)</f>
        <v>0</v>
      </c>
      <c r="Z380" s="15" t="n">
        <f aca="false">PI()*POWER((S380/200),2)</f>
        <v>0</v>
      </c>
      <c r="AA380" s="15" t="n">
        <f aca="false">PI()*POWER((T380/200),2)</f>
        <v>0</v>
      </c>
      <c r="AB380" s="15" t="n">
        <f aca="false">PI()*POWER((U380/200),2)</f>
        <v>0</v>
      </c>
    </row>
    <row r="381" customFormat="false" ht="15" hidden="false" customHeight="false" outlineLevel="0" collapsed="false">
      <c r="A381" s="2" t="s">
        <v>20</v>
      </c>
      <c r="B381" s="2" t="n">
        <v>3</v>
      </c>
      <c r="C381" s="9" t="n">
        <v>46264</v>
      </c>
      <c r="D381" s="2" t="n">
        <v>1</v>
      </c>
      <c r="E381" s="2" t="s">
        <v>85</v>
      </c>
      <c r="F381" s="2" t="s">
        <v>21</v>
      </c>
      <c r="G381" s="2" t="s">
        <v>86</v>
      </c>
      <c r="H381" s="2" t="s">
        <v>23</v>
      </c>
      <c r="I381" s="2" t="s">
        <v>25</v>
      </c>
      <c r="J381" s="2" t="n">
        <v>37</v>
      </c>
      <c r="K381" s="32" t="s">
        <v>105</v>
      </c>
      <c r="L381" s="15" t="n">
        <f aca="false">SUM(V381:AB381)</f>
        <v>0.01539380400259</v>
      </c>
      <c r="M381" s="15" t="n">
        <f aca="false">MAX(O381:U381)</f>
        <v>14</v>
      </c>
      <c r="N381" s="15" t="n">
        <f aca="false">COUNTIF(M381,"&gt;9.9")</f>
        <v>1</v>
      </c>
      <c r="O381" s="2" t="n">
        <v>14</v>
      </c>
      <c r="V381" s="15" t="n">
        <f aca="false">PI()*POWER((O381/200),2)</f>
        <v>0.01539380400259</v>
      </c>
      <c r="W381" s="15" t="n">
        <f aca="false">PI()*POWER((P381/200),2)</f>
        <v>0</v>
      </c>
      <c r="X381" s="15" t="n">
        <f aca="false">PI()*POWER((Q381/200),2)</f>
        <v>0</v>
      </c>
      <c r="Y381" s="15" t="n">
        <f aca="false">PI()*POWER((R381/200),2)</f>
        <v>0</v>
      </c>
      <c r="Z381" s="15" t="n">
        <f aca="false">PI()*POWER((S381/200),2)</f>
        <v>0</v>
      </c>
      <c r="AA381" s="15" t="n">
        <f aca="false">PI()*POWER((T381/200),2)</f>
        <v>0</v>
      </c>
      <c r="AB381" s="15" t="n">
        <f aca="false">PI()*POWER((U381/200),2)</f>
        <v>0</v>
      </c>
    </row>
    <row r="382" customFormat="false" ht="15" hidden="false" customHeight="false" outlineLevel="0" collapsed="false">
      <c r="A382" s="2" t="s">
        <v>20</v>
      </c>
      <c r="B382" s="2" t="n">
        <v>3</v>
      </c>
      <c r="C382" s="9" t="n">
        <v>46264</v>
      </c>
      <c r="D382" s="2" t="n">
        <v>1</v>
      </c>
      <c r="E382" s="2" t="s">
        <v>85</v>
      </c>
      <c r="F382" s="2" t="s">
        <v>21</v>
      </c>
      <c r="G382" s="2" t="s">
        <v>86</v>
      </c>
      <c r="H382" s="2" t="s">
        <v>23</v>
      </c>
      <c r="I382" s="2" t="s">
        <v>25</v>
      </c>
      <c r="J382" s="2" t="n">
        <v>13</v>
      </c>
      <c r="K382" s="32" t="s">
        <v>105</v>
      </c>
      <c r="L382" s="15" t="n">
        <f aca="false">SUM(V382:AB382)</f>
        <v>0.0201061929829747</v>
      </c>
      <c r="M382" s="15" t="n">
        <f aca="false">MAX(O382:U382)</f>
        <v>16</v>
      </c>
      <c r="N382" s="15" t="n">
        <f aca="false">COUNTIF(M382,"&gt;9.9")</f>
        <v>1</v>
      </c>
      <c r="O382" s="2" t="n">
        <v>16</v>
      </c>
      <c r="V382" s="15" t="n">
        <f aca="false">PI()*POWER((O382/200),2)</f>
        <v>0.0201061929829747</v>
      </c>
      <c r="W382" s="15" t="n">
        <f aca="false">PI()*POWER((P382/200),2)</f>
        <v>0</v>
      </c>
      <c r="X382" s="15" t="n">
        <f aca="false">PI()*POWER((Q382/200),2)</f>
        <v>0</v>
      </c>
      <c r="Y382" s="15" t="n">
        <f aca="false">PI()*POWER((R382/200),2)</f>
        <v>0</v>
      </c>
      <c r="Z382" s="15" t="n">
        <f aca="false">PI()*POWER((S382/200),2)</f>
        <v>0</v>
      </c>
      <c r="AA382" s="15" t="n">
        <f aca="false">PI()*POWER((T382/200),2)</f>
        <v>0</v>
      </c>
      <c r="AB382" s="15" t="n">
        <f aca="false">PI()*POWER((U382/200),2)</f>
        <v>0</v>
      </c>
    </row>
    <row r="383" customFormat="false" ht="15" hidden="false" customHeight="false" outlineLevel="0" collapsed="false">
      <c r="A383" s="2" t="s">
        <v>20</v>
      </c>
      <c r="B383" s="2" t="n">
        <v>3</v>
      </c>
      <c r="C383" s="9" t="n">
        <v>46264</v>
      </c>
      <c r="D383" s="2" t="n">
        <v>1</v>
      </c>
      <c r="E383" s="2" t="s">
        <v>85</v>
      </c>
      <c r="F383" s="2" t="s">
        <v>21</v>
      </c>
      <c r="G383" s="2" t="s">
        <v>86</v>
      </c>
      <c r="H383" s="2" t="s">
        <v>23</v>
      </c>
      <c r="I383" s="2" t="s">
        <v>25</v>
      </c>
      <c r="J383" s="2" t="n">
        <v>27</v>
      </c>
      <c r="K383" s="32" t="s">
        <v>105</v>
      </c>
      <c r="L383" s="15" t="n">
        <f aca="false">SUM(V383:AB383)</f>
        <v>0.0333794219443916</v>
      </c>
      <c r="M383" s="15" t="n">
        <f aca="false">MAX(O383:U383)</f>
        <v>16</v>
      </c>
      <c r="N383" s="15" t="n">
        <f aca="false">COUNTIF(M383,"&gt;9.9")</f>
        <v>1</v>
      </c>
      <c r="O383" s="2" t="n">
        <v>13</v>
      </c>
      <c r="P383" s="2" t="n">
        <v>16</v>
      </c>
      <c r="V383" s="15" t="n">
        <f aca="false">PI()*POWER((O383/200),2)</f>
        <v>0.0132732289614169</v>
      </c>
      <c r="W383" s="15" t="n">
        <f aca="false">PI()*POWER((P383/200),2)</f>
        <v>0.0201061929829747</v>
      </c>
      <c r="X383" s="15" t="n">
        <f aca="false">PI()*POWER((Q383/200),2)</f>
        <v>0</v>
      </c>
      <c r="Y383" s="15" t="n">
        <f aca="false">PI()*POWER((R383/200),2)</f>
        <v>0</v>
      </c>
      <c r="Z383" s="15" t="n">
        <f aca="false">PI()*POWER((S383/200),2)</f>
        <v>0</v>
      </c>
      <c r="AA383" s="15" t="n">
        <f aca="false">PI()*POWER((T383/200),2)</f>
        <v>0</v>
      </c>
      <c r="AB383" s="15" t="n">
        <f aca="false">PI()*POWER((U383/200),2)</f>
        <v>0</v>
      </c>
    </row>
    <row r="384" customFormat="false" ht="15" hidden="false" customHeight="false" outlineLevel="0" collapsed="false">
      <c r="A384" s="2" t="s">
        <v>20</v>
      </c>
      <c r="B384" s="2" t="n">
        <v>3</v>
      </c>
      <c r="C384" s="9" t="n">
        <v>46264</v>
      </c>
      <c r="D384" s="2" t="n">
        <v>1</v>
      </c>
      <c r="E384" s="2" t="s">
        <v>85</v>
      </c>
      <c r="F384" s="2" t="s">
        <v>21</v>
      </c>
      <c r="G384" s="2" t="s">
        <v>86</v>
      </c>
      <c r="H384" s="2" t="s">
        <v>23</v>
      </c>
      <c r="I384" s="2" t="s">
        <v>25</v>
      </c>
      <c r="J384" s="2" t="n">
        <v>2</v>
      </c>
      <c r="K384" s="32" t="s">
        <v>105</v>
      </c>
      <c r="L384" s="15" t="n">
        <f aca="false">SUM(V384:AB384)</f>
        <v>0.0254469004940773</v>
      </c>
      <c r="M384" s="15" t="n">
        <f aca="false">MAX(O384:U384)</f>
        <v>18</v>
      </c>
      <c r="N384" s="15" t="n">
        <f aca="false">COUNTIF(M384,"&gt;9.9")</f>
        <v>1</v>
      </c>
      <c r="O384" s="2" t="n">
        <v>18</v>
      </c>
      <c r="V384" s="15" t="n">
        <f aca="false">PI()*POWER((O384/200),2)</f>
        <v>0.0254469004940773</v>
      </c>
      <c r="W384" s="15" t="n">
        <f aca="false">PI()*POWER((P384/200),2)</f>
        <v>0</v>
      </c>
      <c r="X384" s="15" t="n">
        <f aca="false">PI()*POWER((Q384/200),2)</f>
        <v>0</v>
      </c>
      <c r="Y384" s="15" t="n">
        <f aca="false">PI()*POWER((R384/200),2)</f>
        <v>0</v>
      </c>
      <c r="Z384" s="15" t="n">
        <f aca="false">PI()*POWER((S384/200),2)</f>
        <v>0</v>
      </c>
      <c r="AA384" s="15" t="n">
        <f aca="false">PI()*POWER((T384/200),2)</f>
        <v>0</v>
      </c>
      <c r="AB384" s="15" t="n">
        <f aca="false">PI()*POWER((U384/200),2)</f>
        <v>0</v>
      </c>
    </row>
    <row r="385" customFormat="false" ht="15" hidden="false" customHeight="false" outlineLevel="0" collapsed="false">
      <c r="A385" s="2" t="s">
        <v>20</v>
      </c>
      <c r="B385" s="2" t="n">
        <v>3</v>
      </c>
      <c r="C385" s="9" t="n">
        <v>46264</v>
      </c>
      <c r="D385" s="2" t="n">
        <v>1</v>
      </c>
      <c r="E385" s="2" t="s">
        <v>85</v>
      </c>
      <c r="F385" s="2" t="s">
        <v>21</v>
      </c>
      <c r="G385" s="2" t="s">
        <v>86</v>
      </c>
      <c r="H385" s="2" t="s">
        <v>23</v>
      </c>
      <c r="I385" s="2" t="s">
        <v>25</v>
      </c>
      <c r="J385" s="2" t="n">
        <v>10</v>
      </c>
      <c r="K385" s="32" t="s">
        <v>105</v>
      </c>
      <c r="L385" s="15" t="n">
        <f aca="false">SUM(V385:AB385)</f>
        <v>0.0254469004940773</v>
      </c>
      <c r="M385" s="15" t="n">
        <f aca="false">MAX(O385:U385)</f>
        <v>18</v>
      </c>
      <c r="N385" s="15" t="n">
        <f aca="false">COUNTIF(M385,"&gt;9.9")</f>
        <v>1</v>
      </c>
      <c r="O385" s="2" t="n">
        <v>18</v>
      </c>
      <c r="V385" s="15" t="n">
        <f aca="false">PI()*POWER((O385/200),2)</f>
        <v>0.0254469004940773</v>
      </c>
      <c r="W385" s="15" t="n">
        <f aca="false">PI()*POWER((P385/200),2)</f>
        <v>0</v>
      </c>
      <c r="X385" s="15" t="n">
        <f aca="false">PI()*POWER((Q385/200),2)</f>
        <v>0</v>
      </c>
      <c r="Y385" s="15" t="n">
        <f aca="false">PI()*POWER((R385/200),2)</f>
        <v>0</v>
      </c>
      <c r="Z385" s="15" t="n">
        <f aca="false">PI()*POWER((S385/200),2)</f>
        <v>0</v>
      </c>
      <c r="AA385" s="15" t="n">
        <f aca="false">PI()*POWER((T385/200),2)</f>
        <v>0</v>
      </c>
      <c r="AB385" s="15" t="n">
        <f aca="false">PI()*POWER((U385/200),2)</f>
        <v>0</v>
      </c>
    </row>
    <row r="386" customFormat="false" ht="15" hidden="false" customHeight="false" outlineLevel="0" collapsed="false">
      <c r="A386" s="2" t="s">
        <v>20</v>
      </c>
      <c r="B386" s="2" t="n">
        <v>3</v>
      </c>
      <c r="C386" s="9" t="n">
        <v>46264</v>
      </c>
      <c r="D386" s="2" t="n">
        <v>1</v>
      </c>
      <c r="E386" s="2" t="s">
        <v>85</v>
      </c>
      <c r="F386" s="2" t="s">
        <v>21</v>
      </c>
      <c r="G386" s="2" t="s">
        <v>86</v>
      </c>
      <c r="H386" s="2" t="s">
        <v>23</v>
      </c>
      <c r="I386" s="2" t="s">
        <v>25</v>
      </c>
      <c r="J386" s="2" t="n">
        <v>15</v>
      </c>
      <c r="K386" s="32" t="s">
        <v>105</v>
      </c>
      <c r="L386" s="15" t="n">
        <f aca="false">SUM(V386:AB386)</f>
        <v>0.0530929158456675</v>
      </c>
      <c r="M386" s="15" t="n">
        <f aca="false">MAX(O386:U386)</f>
        <v>26</v>
      </c>
      <c r="N386" s="15" t="n">
        <f aca="false">COUNTIF(M386,"&gt;9.9")</f>
        <v>1</v>
      </c>
      <c r="O386" s="2" t="n">
        <v>26</v>
      </c>
      <c r="V386" s="15" t="n">
        <f aca="false">PI()*POWER((O386/200),2)</f>
        <v>0.0530929158456675</v>
      </c>
      <c r="W386" s="15" t="n">
        <f aca="false">PI()*POWER((P386/200),2)</f>
        <v>0</v>
      </c>
      <c r="X386" s="15" t="n">
        <f aca="false">PI()*POWER((Q386/200),2)</f>
        <v>0</v>
      </c>
      <c r="Y386" s="15" t="n">
        <f aca="false">PI()*POWER((R386/200),2)</f>
        <v>0</v>
      </c>
      <c r="Z386" s="15" t="n">
        <f aca="false">PI()*POWER((S386/200),2)</f>
        <v>0</v>
      </c>
      <c r="AA386" s="15" t="n">
        <f aca="false">PI()*POWER((T386/200),2)</f>
        <v>0</v>
      </c>
      <c r="AB386" s="15" t="n">
        <f aca="false">PI()*POWER((U386/200),2)</f>
        <v>0</v>
      </c>
    </row>
    <row r="387" customFormat="false" ht="15" hidden="false" customHeight="false" outlineLevel="0" collapsed="false">
      <c r="A387" s="2" t="s">
        <v>20</v>
      </c>
      <c r="B387" s="2" t="n">
        <v>3</v>
      </c>
      <c r="C387" s="9" t="n">
        <v>46264</v>
      </c>
      <c r="D387" s="2" t="n">
        <v>1</v>
      </c>
      <c r="E387" s="2" t="s">
        <v>85</v>
      </c>
      <c r="F387" s="2" t="s">
        <v>21</v>
      </c>
      <c r="G387" s="2" t="s">
        <v>86</v>
      </c>
      <c r="H387" s="2" t="s">
        <v>23</v>
      </c>
      <c r="I387" s="2" t="s">
        <v>25</v>
      </c>
      <c r="J387" s="2" t="n">
        <v>71</v>
      </c>
      <c r="K387" s="32" t="s">
        <v>105</v>
      </c>
      <c r="L387" s="15" t="n">
        <f aca="false">SUM(V387:AB387)</f>
        <v>0.0530929158456675</v>
      </c>
      <c r="M387" s="15" t="n">
        <f aca="false">MAX(O387:U387)</f>
        <v>26</v>
      </c>
      <c r="N387" s="15" t="n">
        <f aca="false">COUNTIF(M387,"&gt;9.9")</f>
        <v>1</v>
      </c>
      <c r="O387" s="2" t="n">
        <v>26</v>
      </c>
      <c r="V387" s="15" t="n">
        <f aca="false">PI()*POWER((O387/200),2)</f>
        <v>0.0530929158456675</v>
      </c>
      <c r="W387" s="15" t="n">
        <f aca="false">PI()*POWER((P387/200),2)</f>
        <v>0</v>
      </c>
      <c r="X387" s="15" t="n">
        <f aca="false">PI()*POWER((Q387/200),2)</f>
        <v>0</v>
      </c>
      <c r="Y387" s="15" t="n">
        <f aca="false">PI()*POWER((R387/200),2)</f>
        <v>0</v>
      </c>
      <c r="Z387" s="15" t="n">
        <f aca="false">PI()*POWER((S387/200),2)</f>
        <v>0</v>
      </c>
      <c r="AA387" s="15" t="n">
        <f aca="false">PI()*POWER((T387/200),2)</f>
        <v>0</v>
      </c>
      <c r="AB387" s="15" t="n">
        <f aca="false">PI()*POWER((U387/200),2)</f>
        <v>0</v>
      </c>
    </row>
    <row r="388" customFormat="false" ht="15" hidden="false" customHeight="false" outlineLevel="0" collapsed="false">
      <c r="A388" s="2" t="s">
        <v>20</v>
      </c>
      <c r="B388" s="2" t="n">
        <v>3</v>
      </c>
      <c r="C388" s="9" t="n">
        <v>46264</v>
      </c>
      <c r="D388" s="2" t="n">
        <v>1</v>
      </c>
      <c r="E388" s="2" t="s">
        <v>85</v>
      </c>
      <c r="F388" s="2" t="s">
        <v>21</v>
      </c>
      <c r="G388" s="2" t="s">
        <v>86</v>
      </c>
      <c r="H388" s="2" t="s">
        <v>23</v>
      </c>
      <c r="I388" s="2" t="s">
        <v>25</v>
      </c>
      <c r="J388" s="2" t="n">
        <v>72</v>
      </c>
      <c r="K388" s="32" t="s">
        <v>149</v>
      </c>
      <c r="L388" s="15" t="n">
        <f aca="false">SUM(V388:AB388)</f>
        <v>0.06157521601036</v>
      </c>
      <c r="M388" s="15" t="n">
        <f aca="false">MAX(O388:U388)</f>
        <v>28</v>
      </c>
      <c r="N388" s="15" t="n">
        <f aca="false">COUNTIF(M388,"&gt;9.9")</f>
        <v>1</v>
      </c>
      <c r="O388" s="2" t="n">
        <v>28</v>
      </c>
      <c r="V388" s="15" t="n">
        <f aca="false">PI()*POWER((O388/200),2)</f>
        <v>0.06157521601036</v>
      </c>
      <c r="W388" s="15" t="n">
        <f aca="false">PI()*POWER((P388/200),2)</f>
        <v>0</v>
      </c>
      <c r="X388" s="15" t="n">
        <f aca="false">PI()*POWER((Q388/200),2)</f>
        <v>0</v>
      </c>
      <c r="Y388" s="15" t="n">
        <f aca="false">PI()*POWER((R388/200),2)</f>
        <v>0</v>
      </c>
      <c r="Z388" s="15" t="n">
        <f aca="false">PI()*POWER((S388/200),2)</f>
        <v>0</v>
      </c>
      <c r="AA388" s="15" t="n">
        <f aca="false">PI()*POWER((T388/200),2)</f>
        <v>0</v>
      </c>
      <c r="AB388" s="15" t="n">
        <f aca="false">PI()*POWER((U388/200),2)</f>
        <v>0</v>
      </c>
    </row>
    <row r="389" customFormat="false" ht="15" hidden="false" customHeight="false" outlineLevel="0" collapsed="false">
      <c r="A389" s="2" t="s">
        <v>20</v>
      </c>
      <c r="B389" s="2" t="n">
        <v>3</v>
      </c>
      <c r="C389" s="9" t="n">
        <v>46264</v>
      </c>
      <c r="D389" s="2" t="n">
        <v>1</v>
      </c>
      <c r="E389" s="2" t="s">
        <v>85</v>
      </c>
      <c r="F389" s="2" t="s">
        <v>21</v>
      </c>
      <c r="G389" s="2" t="s">
        <v>86</v>
      </c>
      <c r="H389" s="2" t="s">
        <v>23</v>
      </c>
      <c r="I389" s="2" t="s">
        <v>25</v>
      </c>
      <c r="J389" s="2" t="n">
        <v>12</v>
      </c>
      <c r="K389" s="32" t="s">
        <v>150</v>
      </c>
      <c r="L389" s="15" t="n">
        <f aca="false">SUM(V389:AB389)</f>
        <v>0.0283528736986479</v>
      </c>
      <c r="M389" s="15" t="n">
        <f aca="false">MAX(O389:U389)</f>
        <v>19</v>
      </c>
      <c r="N389" s="15" t="n">
        <f aca="false">COUNTIF(M389,"&gt;9.9")</f>
        <v>1</v>
      </c>
      <c r="O389" s="2" t="n">
        <v>19</v>
      </c>
      <c r="V389" s="15" t="n">
        <f aca="false">PI()*POWER((O389/200),2)</f>
        <v>0.0283528736986479</v>
      </c>
      <c r="W389" s="15" t="n">
        <f aca="false">PI()*POWER((P389/200),2)</f>
        <v>0</v>
      </c>
      <c r="X389" s="15" t="n">
        <f aca="false">PI()*POWER((Q389/200),2)</f>
        <v>0</v>
      </c>
      <c r="Y389" s="15" t="n">
        <f aca="false">PI()*POWER((R389/200),2)</f>
        <v>0</v>
      </c>
      <c r="Z389" s="15" t="n">
        <f aca="false">PI()*POWER((S389/200),2)</f>
        <v>0</v>
      </c>
      <c r="AA389" s="15" t="n">
        <f aca="false">PI()*POWER((T389/200),2)</f>
        <v>0</v>
      </c>
      <c r="AB389" s="15" t="n">
        <f aca="false">PI()*POWER((U389/200),2)</f>
        <v>0</v>
      </c>
    </row>
    <row r="390" customFormat="false" ht="15" hidden="false" customHeight="false" outlineLevel="0" collapsed="false">
      <c r="A390" s="2" t="s">
        <v>20</v>
      </c>
      <c r="B390" s="2" t="n">
        <v>3</v>
      </c>
      <c r="C390" s="9" t="n">
        <v>46264</v>
      </c>
      <c r="D390" s="2" t="n">
        <v>1</v>
      </c>
      <c r="E390" s="2" t="s">
        <v>85</v>
      </c>
      <c r="F390" s="2" t="s">
        <v>21</v>
      </c>
      <c r="G390" s="2" t="s">
        <v>86</v>
      </c>
      <c r="H390" s="2" t="s">
        <v>23</v>
      </c>
      <c r="I390" s="2" t="s">
        <v>25</v>
      </c>
      <c r="J390" s="2" t="n">
        <v>43</v>
      </c>
      <c r="K390" s="32" t="s">
        <v>107</v>
      </c>
      <c r="L390" s="15" t="n">
        <f aca="false">SUM(V390:AB390)</f>
        <v>0.000314159265358979</v>
      </c>
      <c r="M390" s="15" t="n">
        <f aca="false">MAX(O390:U390)</f>
        <v>2</v>
      </c>
      <c r="N390" s="15" t="n">
        <f aca="false">COUNTIF(M390,"&gt;9.9")</f>
        <v>0</v>
      </c>
      <c r="O390" s="2" t="n">
        <v>2</v>
      </c>
      <c r="V390" s="15" t="n">
        <f aca="false">PI()*POWER((O390/200),2)</f>
        <v>0.000314159265358979</v>
      </c>
      <c r="W390" s="15" t="n">
        <f aca="false">PI()*POWER((P390/200),2)</f>
        <v>0</v>
      </c>
      <c r="X390" s="15" t="n">
        <f aca="false">PI()*POWER((Q390/200),2)</f>
        <v>0</v>
      </c>
      <c r="Y390" s="15" t="n">
        <f aca="false">PI()*POWER((R390/200),2)</f>
        <v>0</v>
      </c>
      <c r="Z390" s="15" t="n">
        <f aca="false">PI()*POWER((S390/200),2)</f>
        <v>0</v>
      </c>
      <c r="AA390" s="15" t="n">
        <f aca="false">PI()*POWER((T390/200),2)</f>
        <v>0</v>
      </c>
      <c r="AB390" s="15" t="n">
        <f aca="false">PI()*POWER((U390/200),2)</f>
        <v>0</v>
      </c>
    </row>
    <row r="391" customFormat="false" ht="15" hidden="false" customHeight="false" outlineLevel="0" collapsed="false">
      <c r="A391" s="2" t="s">
        <v>20</v>
      </c>
      <c r="B391" s="2" t="n">
        <v>3</v>
      </c>
      <c r="C391" s="9" t="n">
        <v>46264</v>
      </c>
      <c r="D391" s="2" t="n">
        <v>1</v>
      </c>
      <c r="E391" s="2" t="s">
        <v>85</v>
      </c>
      <c r="F391" s="2" t="s">
        <v>21</v>
      </c>
      <c r="G391" s="2" t="s">
        <v>86</v>
      </c>
      <c r="H391" s="2" t="s">
        <v>23</v>
      </c>
      <c r="I391" s="2" t="s">
        <v>25</v>
      </c>
      <c r="J391" s="2" t="n">
        <v>45</v>
      </c>
      <c r="K391" s="32" t="s">
        <v>107</v>
      </c>
      <c r="L391" s="15" t="n">
        <f aca="false">SUM(V391:AB391)</f>
        <v>0.000314159265358979</v>
      </c>
      <c r="M391" s="15" t="n">
        <f aca="false">MAX(O391:U391)</f>
        <v>2</v>
      </c>
      <c r="N391" s="15" t="n">
        <f aca="false">COUNTIF(M391,"&gt;9.9")</f>
        <v>0</v>
      </c>
      <c r="O391" s="2" t="n">
        <v>2</v>
      </c>
      <c r="V391" s="15" t="n">
        <f aca="false">PI()*POWER((O391/200),2)</f>
        <v>0.000314159265358979</v>
      </c>
      <c r="W391" s="15" t="n">
        <f aca="false">PI()*POWER((P391/200),2)</f>
        <v>0</v>
      </c>
      <c r="X391" s="15" t="n">
        <f aca="false">PI()*POWER((Q391/200),2)</f>
        <v>0</v>
      </c>
      <c r="Y391" s="15" t="n">
        <f aca="false">PI()*POWER((R391/200),2)</f>
        <v>0</v>
      </c>
      <c r="Z391" s="15" t="n">
        <f aca="false">PI()*POWER((S391/200),2)</f>
        <v>0</v>
      </c>
      <c r="AA391" s="15" t="n">
        <f aca="false">PI()*POWER((T391/200),2)</f>
        <v>0</v>
      </c>
      <c r="AB391" s="15" t="n">
        <f aca="false">PI()*POWER((U391/200),2)</f>
        <v>0</v>
      </c>
    </row>
    <row r="392" customFormat="false" ht="15" hidden="false" customHeight="false" outlineLevel="0" collapsed="false">
      <c r="A392" s="2" t="s">
        <v>20</v>
      </c>
      <c r="B392" s="2" t="n">
        <v>3</v>
      </c>
      <c r="C392" s="9" t="n">
        <v>46264</v>
      </c>
      <c r="D392" s="2" t="n">
        <v>1</v>
      </c>
      <c r="E392" s="2" t="s">
        <v>85</v>
      </c>
      <c r="F392" s="2" t="s">
        <v>21</v>
      </c>
      <c r="G392" s="2" t="s">
        <v>86</v>
      </c>
      <c r="H392" s="2" t="s">
        <v>23</v>
      </c>
      <c r="I392" s="2" t="s">
        <v>25</v>
      </c>
      <c r="J392" s="2" t="n">
        <v>49</v>
      </c>
      <c r="K392" s="32" t="s">
        <v>107</v>
      </c>
      <c r="L392" s="15" t="n">
        <f aca="false">SUM(V392:AB392)</f>
        <v>0.000314159265358979</v>
      </c>
      <c r="M392" s="15" t="n">
        <f aca="false">MAX(O392:U392)</f>
        <v>2</v>
      </c>
      <c r="N392" s="15" t="n">
        <f aca="false">COUNTIF(M392,"&gt;9.9")</f>
        <v>0</v>
      </c>
      <c r="O392" s="2" t="n">
        <v>2</v>
      </c>
      <c r="V392" s="15" t="n">
        <f aca="false">PI()*POWER((O392/200),2)</f>
        <v>0.000314159265358979</v>
      </c>
      <c r="W392" s="15" t="n">
        <f aca="false">PI()*POWER((P392/200),2)</f>
        <v>0</v>
      </c>
      <c r="X392" s="15" t="n">
        <f aca="false">PI()*POWER((Q392/200),2)</f>
        <v>0</v>
      </c>
      <c r="Y392" s="15" t="n">
        <f aca="false">PI()*POWER((R392/200),2)</f>
        <v>0</v>
      </c>
      <c r="Z392" s="15" t="n">
        <f aca="false">PI()*POWER((S392/200),2)</f>
        <v>0</v>
      </c>
      <c r="AA392" s="15" t="n">
        <f aca="false">PI()*POWER((T392/200),2)</f>
        <v>0</v>
      </c>
      <c r="AB392" s="15" t="n">
        <f aca="false">PI()*POWER((U392/200),2)</f>
        <v>0</v>
      </c>
    </row>
    <row r="393" customFormat="false" ht="15" hidden="false" customHeight="false" outlineLevel="0" collapsed="false">
      <c r="A393" s="2" t="s">
        <v>20</v>
      </c>
      <c r="B393" s="2" t="n">
        <v>3</v>
      </c>
      <c r="C393" s="9" t="n">
        <v>46264</v>
      </c>
      <c r="D393" s="2" t="n">
        <v>1</v>
      </c>
      <c r="E393" s="2" t="s">
        <v>85</v>
      </c>
      <c r="F393" s="2" t="s">
        <v>21</v>
      </c>
      <c r="G393" s="2" t="s">
        <v>86</v>
      </c>
      <c r="H393" s="2" t="s">
        <v>23</v>
      </c>
      <c r="I393" s="2" t="s">
        <v>25</v>
      </c>
      <c r="J393" s="2" t="n">
        <v>51</v>
      </c>
      <c r="K393" s="32" t="s">
        <v>107</v>
      </c>
      <c r="L393" s="15" t="n">
        <f aca="false">SUM(V393:AB393)</f>
        <v>0.000314159265358979</v>
      </c>
      <c r="M393" s="15" t="n">
        <f aca="false">MAX(O393:U393)</f>
        <v>2</v>
      </c>
      <c r="N393" s="15" t="n">
        <f aca="false">COUNTIF(M393,"&gt;9.9")</f>
        <v>0</v>
      </c>
      <c r="O393" s="2" t="n">
        <v>2</v>
      </c>
      <c r="V393" s="15" t="n">
        <f aca="false">PI()*POWER((O393/200),2)</f>
        <v>0.000314159265358979</v>
      </c>
      <c r="W393" s="15" t="n">
        <f aca="false">PI()*POWER((P393/200),2)</f>
        <v>0</v>
      </c>
      <c r="X393" s="15" t="n">
        <f aca="false">PI()*POWER((Q393/200),2)</f>
        <v>0</v>
      </c>
      <c r="Y393" s="15" t="n">
        <f aca="false">PI()*POWER((R393/200),2)</f>
        <v>0</v>
      </c>
      <c r="Z393" s="15" t="n">
        <f aca="false">PI()*POWER((S393/200),2)</f>
        <v>0</v>
      </c>
      <c r="AA393" s="15" t="n">
        <f aca="false">PI()*POWER((T393/200),2)</f>
        <v>0</v>
      </c>
      <c r="AB393" s="15" t="n">
        <f aca="false">PI()*POWER((U393/200),2)</f>
        <v>0</v>
      </c>
    </row>
    <row r="394" customFormat="false" ht="15" hidden="false" customHeight="false" outlineLevel="0" collapsed="false">
      <c r="A394" s="2" t="s">
        <v>20</v>
      </c>
      <c r="B394" s="2" t="n">
        <v>3</v>
      </c>
      <c r="C394" s="9" t="n">
        <v>46264</v>
      </c>
      <c r="D394" s="2" t="n">
        <v>1</v>
      </c>
      <c r="E394" s="2" t="s">
        <v>85</v>
      </c>
      <c r="F394" s="2" t="s">
        <v>21</v>
      </c>
      <c r="G394" s="2" t="s">
        <v>86</v>
      </c>
      <c r="H394" s="2" t="s">
        <v>23</v>
      </c>
      <c r="I394" s="2" t="s">
        <v>25</v>
      </c>
      <c r="J394" s="2" t="n">
        <v>44</v>
      </c>
      <c r="K394" s="32" t="s">
        <v>107</v>
      </c>
      <c r="L394" s="15" t="n">
        <f aca="false">SUM(V394:AB394)</f>
        <v>0.000706858347057703</v>
      </c>
      <c r="M394" s="15" t="n">
        <f aca="false">MAX(O394:U394)</f>
        <v>3</v>
      </c>
      <c r="N394" s="15" t="n">
        <f aca="false">COUNTIF(M394,"&gt;9.9")</f>
        <v>0</v>
      </c>
      <c r="O394" s="2" t="n">
        <v>3</v>
      </c>
      <c r="V394" s="15" t="n">
        <f aca="false">PI()*POWER((O394/200),2)</f>
        <v>0.000706858347057703</v>
      </c>
      <c r="W394" s="15" t="n">
        <f aca="false">PI()*POWER((P394/200),2)</f>
        <v>0</v>
      </c>
      <c r="X394" s="15" t="n">
        <f aca="false">PI()*POWER((Q394/200),2)</f>
        <v>0</v>
      </c>
      <c r="Y394" s="15" t="n">
        <f aca="false">PI()*POWER((R394/200),2)</f>
        <v>0</v>
      </c>
      <c r="Z394" s="15" t="n">
        <f aca="false">PI()*POWER((S394/200),2)</f>
        <v>0</v>
      </c>
      <c r="AA394" s="15" t="n">
        <f aca="false">PI()*POWER((T394/200),2)</f>
        <v>0</v>
      </c>
      <c r="AB394" s="15" t="n">
        <f aca="false">PI()*POWER((U394/200),2)</f>
        <v>0</v>
      </c>
    </row>
    <row r="395" customFormat="false" ht="15" hidden="false" customHeight="false" outlineLevel="0" collapsed="false">
      <c r="A395" s="2" t="s">
        <v>20</v>
      </c>
      <c r="B395" s="2" t="n">
        <v>3</v>
      </c>
      <c r="C395" s="9" t="n">
        <v>46264</v>
      </c>
      <c r="D395" s="2" t="n">
        <v>1</v>
      </c>
      <c r="E395" s="2" t="s">
        <v>85</v>
      </c>
      <c r="F395" s="2" t="s">
        <v>21</v>
      </c>
      <c r="G395" s="2" t="s">
        <v>86</v>
      </c>
      <c r="H395" s="2" t="s">
        <v>23</v>
      </c>
      <c r="I395" s="2" t="s">
        <v>25</v>
      </c>
      <c r="J395" s="2" t="n">
        <v>46</v>
      </c>
      <c r="K395" s="32" t="s">
        <v>107</v>
      </c>
      <c r="L395" s="15" t="n">
        <f aca="false">SUM(V395:AB395)</f>
        <v>0.000706858347057703</v>
      </c>
      <c r="M395" s="15" t="n">
        <f aca="false">MAX(O395:U395)</f>
        <v>3</v>
      </c>
      <c r="N395" s="15" t="n">
        <f aca="false">COUNTIF(M395,"&gt;9.9")</f>
        <v>0</v>
      </c>
      <c r="O395" s="2" t="n">
        <v>3</v>
      </c>
      <c r="V395" s="15" t="n">
        <f aca="false">PI()*POWER((O395/200),2)</f>
        <v>0.000706858347057703</v>
      </c>
      <c r="W395" s="15" t="n">
        <f aca="false">PI()*POWER((P395/200),2)</f>
        <v>0</v>
      </c>
      <c r="X395" s="15" t="n">
        <f aca="false">PI()*POWER((Q395/200),2)</f>
        <v>0</v>
      </c>
      <c r="Y395" s="15" t="n">
        <f aca="false">PI()*POWER((R395/200),2)</f>
        <v>0</v>
      </c>
      <c r="Z395" s="15" t="n">
        <f aca="false">PI()*POWER((S395/200),2)</f>
        <v>0</v>
      </c>
      <c r="AA395" s="15" t="n">
        <f aca="false">PI()*POWER((T395/200),2)</f>
        <v>0</v>
      </c>
      <c r="AB395" s="15" t="n">
        <f aca="false">PI()*POWER((U395/200),2)</f>
        <v>0</v>
      </c>
    </row>
    <row r="396" customFormat="false" ht="15" hidden="false" customHeight="false" outlineLevel="0" collapsed="false">
      <c r="A396" s="2" t="s">
        <v>20</v>
      </c>
      <c r="B396" s="2" t="n">
        <v>3</v>
      </c>
      <c r="C396" s="9" t="n">
        <v>46264</v>
      </c>
      <c r="D396" s="2" t="n">
        <v>1</v>
      </c>
      <c r="E396" s="2" t="s">
        <v>85</v>
      </c>
      <c r="F396" s="2" t="s">
        <v>21</v>
      </c>
      <c r="G396" s="2" t="s">
        <v>86</v>
      </c>
      <c r="H396" s="2" t="s">
        <v>23</v>
      </c>
      <c r="I396" s="2" t="s">
        <v>25</v>
      </c>
      <c r="J396" s="2" t="n">
        <v>47</v>
      </c>
      <c r="K396" s="32" t="s">
        <v>107</v>
      </c>
      <c r="L396" s="15" t="n">
        <f aca="false">SUM(V396:AB396)</f>
        <v>0.000962112750161874</v>
      </c>
      <c r="M396" s="15" t="n">
        <f aca="false">MAX(O396:U396)</f>
        <v>3.5</v>
      </c>
      <c r="N396" s="15" t="n">
        <f aca="false">COUNTIF(M396,"&gt;9.9")</f>
        <v>0</v>
      </c>
      <c r="O396" s="2" t="n">
        <v>3.5</v>
      </c>
      <c r="V396" s="15" t="n">
        <f aca="false">PI()*POWER((O396/200),2)</f>
        <v>0.000962112750161874</v>
      </c>
      <c r="W396" s="15" t="n">
        <f aca="false">PI()*POWER((P396/200),2)</f>
        <v>0</v>
      </c>
      <c r="X396" s="15" t="n">
        <f aca="false">PI()*POWER((Q396/200),2)</f>
        <v>0</v>
      </c>
      <c r="Y396" s="15" t="n">
        <f aca="false">PI()*POWER((R396/200),2)</f>
        <v>0</v>
      </c>
      <c r="Z396" s="15" t="n">
        <f aca="false">PI()*POWER((S396/200),2)</f>
        <v>0</v>
      </c>
      <c r="AA396" s="15" t="n">
        <f aca="false">PI()*POWER((T396/200),2)</f>
        <v>0</v>
      </c>
      <c r="AB396" s="15" t="n">
        <f aca="false">PI()*POWER((U396/200),2)</f>
        <v>0</v>
      </c>
    </row>
    <row r="397" customFormat="false" ht="15" hidden="false" customHeight="false" outlineLevel="0" collapsed="false">
      <c r="A397" s="2" t="s">
        <v>20</v>
      </c>
      <c r="B397" s="2" t="n">
        <v>3</v>
      </c>
      <c r="C397" s="9" t="n">
        <v>46264</v>
      </c>
      <c r="D397" s="2" t="n">
        <v>1</v>
      </c>
      <c r="E397" s="2" t="s">
        <v>85</v>
      </c>
      <c r="F397" s="2" t="s">
        <v>21</v>
      </c>
      <c r="G397" s="2" t="s">
        <v>86</v>
      </c>
      <c r="H397" s="2" t="s">
        <v>23</v>
      </c>
      <c r="I397" s="2" t="s">
        <v>25</v>
      </c>
      <c r="J397" s="2" t="n">
        <v>48</v>
      </c>
      <c r="K397" s="32" t="s">
        <v>107</v>
      </c>
      <c r="L397" s="15" t="n">
        <f aca="false">SUM(V397:AB397)</f>
        <v>0.000962112750161874</v>
      </c>
      <c r="M397" s="15" t="n">
        <f aca="false">MAX(O397:U397)</f>
        <v>3.5</v>
      </c>
      <c r="N397" s="15" t="n">
        <f aca="false">COUNTIF(M397,"&gt;9.9")</f>
        <v>0</v>
      </c>
      <c r="O397" s="2" t="n">
        <v>3.5</v>
      </c>
      <c r="V397" s="15" t="n">
        <f aca="false">PI()*POWER((O397/200),2)</f>
        <v>0.000962112750161874</v>
      </c>
      <c r="W397" s="15" t="n">
        <f aca="false">PI()*POWER((P397/200),2)</f>
        <v>0</v>
      </c>
      <c r="X397" s="15" t="n">
        <f aca="false">PI()*POWER((Q397/200),2)</f>
        <v>0</v>
      </c>
      <c r="Y397" s="15" t="n">
        <f aca="false">PI()*POWER((R397/200),2)</f>
        <v>0</v>
      </c>
      <c r="Z397" s="15" t="n">
        <f aca="false">PI()*POWER((S397/200),2)</f>
        <v>0</v>
      </c>
      <c r="AA397" s="15" t="n">
        <f aca="false">PI()*POWER((T397/200),2)</f>
        <v>0</v>
      </c>
      <c r="AB397" s="15" t="n">
        <f aca="false">PI()*POWER((U397/200),2)</f>
        <v>0</v>
      </c>
    </row>
    <row r="398" customFormat="false" ht="15" hidden="false" customHeight="false" outlineLevel="0" collapsed="false">
      <c r="A398" s="2" t="s">
        <v>20</v>
      </c>
      <c r="B398" s="2" t="n">
        <v>3</v>
      </c>
      <c r="C398" s="9" t="n">
        <v>46264</v>
      </c>
      <c r="D398" s="2" t="n">
        <v>1</v>
      </c>
      <c r="E398" s="2" t="s">
        <v>85</v>
      </c>
      <c r="F398" s="2" t="s">
        <v>21</v>
      </c>
      <c r="G398" s="2" t="s">
        <v>86</v>
      </c>
      <c r="H398" s="2" t="s">
        <v>23</v>
      </c>
      <c r="I398" s="2" t="s">
        <v>25</v>
      </c>
      <c r="J398" s="2" t="n">
        <v>50</v>
      </c>
      <c r="K398" s="32" t="s">
        <v>107</v>
      </c>
      <c r="L398" s="15" t="n">
        <f aca="false">SUM(V398:AB398)</f>
        <v>0.00125663706143592</v>
      </c>
      <c r="M398" s="15" t="n">
        <f aca="false">MAX(O398:U398)</f>
        <v>4</v>
      </c>
      <c r="N398" s="15" t="n">
        <f aca="false">COUNTIF(M398,"&gt;9.9")</f>
        <v>0</v>
      </c>
      <c r="O398" s="2" t="n">
        <v>4</v>
      </c>
      <c r="V398" s="15" t="n">
        <f aca="false">PI()*POWER((O398/200),2)</f>
        <v>0.00125663706143592</v>
      </c>
      <c r="W398" s="15" t="n">
        <f aca="false">PI()*POWER((P398/200),2)</f>
        <v>0</v>
      </c>
      <c r="X398" s="15" t="n">
        <f aca="false">PI()*POWER((Q398/200),2)</f>
        <v>0</v>
      </c>
      <c r="Y398" s="15" t="n">
        <f aca="false">PI()*POWER((R398/200),2)</f>
        <v>0</v>
      </c>
      <c r="Z398" s="15" t="n">
        <f aca="false">PI()*POWER((S398/200),2)</f>
        <v>0</v>
      </c>
      <c r="AA398" s="15" t="n">
        <f aca="false">PI()*POWER((T398/200),2)</f>
        <v>0</v>
      </c>
      <c r="AB398" s="15" t="n">
        <f aca="false">PI()*POWER((U398/200),2)</f>
        <v>0</v>
      </c>
    </row>
    <row r="399" customFormat="false" ht="15" hidden="false" customHeight="false" outlineLevel="0" collapsed="false">
      <c r="A399" s="2" t="s">
        <v>20</v>
      </c>
      <c r="B399" s="2" t="n">
        <v>3</v>
      </c>
      <c r="C399" s="9" t="n">
        <v>46264</v>
      </c>
      <c r="D399" s="2" t="n">
        <v>1</v>
      </c>
      <c r="E399" s="2" t="s">
        <v>85</v>
      </c>
      <c r="F399" s="2" t="s">
        <v>21</v>
      </c>
      <c r="G399" s="2" t="s">
        <v>86</v>
      </c>
      <c r="H399" s="2" t="s">
        <v>23</v>
      </c>
      <c r="I399" s="2" t="s">
        <v>25</v>
      </c>
      <c r="J399" s="2" t="n">
        <v>52</v>
      </c>
      <c r="K399" s="32" t="s">
        <v>107</v>
      </c>
      <c r="L399" s="15" t="n">
        <f aca="false">SUM(V399:AB399)</f>
        <v>0.00125663706143592</v>
      </c>
      <c r="M399" s="15" t="n">
        <f aca="false">MAX(O399:U399)</f>
        <v>4</v>
      </c>
      <c r="N399" s="15" t="n">
        <f aca="false">COUNTIF(M399,"&gt;9.9")</f>
        <v>0</v>
      </c>
      <c r="O399" s="2" t="n">
        <v>4</v>
      </c>
      <c r="V399" s="15" t="n">
        <f aca="false">PI()*POWER((O399/200),2)</f>
        <v>0.00125663706143592</v>
      </c>
      <c r="W399" s="15" t="n">
        <f aca="false">PI()*POWER((P399/200),2)</f>
        <v>0</v>
      </c>
      <c r="X399" s="15" t="n">
        <f aca="false">PI()*POWER((Q399/200),2)</f>
        <v>0</v>
      </c>
      <c r="Y399" s="15" t="n">
        <f aca="false">PI()*POWER((R399/200),2)</f>
        <v>0</v>
      </c>
      <c r="Z399" s="15" t="n">
        <f aca="false">PI()*POWER((S399/200),2)</f>
        <v>0</v>
      </c>
      <c r="AA399" s="15" t="n">
        <f aca="false">PI()*POWER((T399/200),2)</f>
        <v>0</v>
      </c>
      <c r="AB399" s="15" t="n">
        <f aca="false">PI()*POWER((U399/200),2)</f>
        <v>0</v>
      </c>
    </row>
    <row r="400" customFormat="false" ht="15" hidden="false" customHeight="false" outlineLevel="0" collapsed="false">
      <c r="A400" s="2" t="s">
        <v>20</v>
      </c>
      <c r="B400" s="2" t="n">
        <v>3</v>
      </c>
      <c r="C400" s="33" t="n">
        <v>46265</v>
      </c>
      <c r="D400" s="2" t="n">
        <v>2</v>
      </c>
      <c r="E400" s="2" t="s">
        <v>26</v>
      </c>
      <c r="F400" s="2" t="s">
        <v>27</v>
      </c>
      <c r="G400" s="2" t="s">
        <v>28</v>
      </c>
      <c r="H400" s="2" t="s">
        <v>95</v>
      </c>
      <c r="I400" s="2" t="s">
        <v>30</v>
      </c>
      <c r="J400" s="2" t="n">
        <v>10</v>
      </c>
      <c r="K400" s="32" t="s">
        <v>151</v>
      </c>
      <c r="L400" s="63" t="n">
        <f aca="false">SUM(V400:AB400)</f>
        <v>0.00113411494794592</v>
      </c>
      <c r="M400" s="63" t="n">
        <f aca="false">MAX(O400:U400)</f>
        <v>3.8</v>
      </c>
      <c r="N400" s="15" t="n">
        <f aca="false">COUNTIF(M400,"&gt;9.9")</f>
        <v>0</v>
      </c>
      <c r="O400" s="2" t="n">
        <v>3.8</v>
      </c>
      <c r="V400" s="63" t="n">
        <f aca="false">PI()*POWER((O400/200),2)</f>
        <v>0.00113411494794592</v>
      </c>
      <c r="W400" s="63" t="n">
        <f aca="false">PI()*POWER((P400/200),2)</f>
        <v>0</v>
      </c>
      <c r="X400" s="63" t="n">
        <f aca="false">PI()*POWER((Q400/200),2)</f>
        <v>0</v>
      </c>
      <c r="Y400" s="63" t="n">
        <f aca="false">PI()*POWER((R400/200),2)</f>
        <v>0</v>
      </c>
      <c r="Z400" s="63" t="n">
        <f aca="false">PI()*POWER((S400/200),2)</f>
        <v>0</v>
      </c>
      <c r="AA400" s="63" t="n">
        <f aca="false">PI()*POWER((T400/200),2)</f>
        <v>0</v>
      </c>
      <c r="AB400" s="63" t="n">
        <f aca="false">PI()*POWER((U400/200),2)</f>
        <v>0</v>
      </c>
    </row>
    <row r="401" customFormat="false" ht="15" hidden="false" customHeight="false" outlineLevel="0" collapsed="false">
      <c r="A401" s="2" t="s">
        <v>20</v>
      </c>
      <c r="B401" s="2" t="n">
        <v>3</v>
      </c>
      <c r="C401" s="33" t="n">
        <v>46265</v>
      </c>
      <c r="D401" s="2" t="n">
        <v>2</v>
      </c>
      <c r="E401" s="2" t="s">
        <v>26</v>
      </c>
      <c r="F401" s="2" t="s">
        <v>27</v>
      </c>
      <c r="G401" s="2" t="s">
        <v>28</v>
      </c>
      <c r="H401" s="2" t="s">
        <v>95</v>
      </c>
      <c r="I401" s="2" t="s">
        <v>30</v>
      </c>
      <c r="J401" s="2" t="n">
        <v>25</v>
      </c>
      <c r="K401" s="32" t="s">
        <v>151</v>
      </c>
      <c r="L401" s="63" t="n">
        <f aca="false">SUM(V401:AB401)</f>
        <v>0.00132025431267111</v>
      </c>
      <c r="M401" s="63" t="n">
        <f aca="false">MAX(O401:U401)</f>
        <v>4.1</v>
      </c>
      <c r="N401" s="15" t="n">
        <f aca="false">COUNTIF(M401,"&gt;9.9")</f>
        <v>0</v>
      </c>
      <c r="O401" s="2" t="n">
        <v>4.1</v>
      </c>
      <c r="V401" s="63" t="n">
        <f aca="false">PI()*POWER((O401/200),2)</f>
        <v>0.00132025431267111</v>
      </c>
      <c r="W401" s="63" t="n">
        <f aca="false">PI()*POWER((P401/200),2)</f>
        <v>0</v>
      </c>
      <c r="X401" s="63" t="n">
        <f aca="false">PI()*POWER((Q401/200),2)</f>
        <v>0</v>
      </c>
      <c r="Y401" s="63" t="n">
        <f aca="false">PI()*POWER((R401/200),2)</f>
        <v>0</v>
      </c>
      <c r="Z401" s="63" t="n">
        <f aca="false">PI()*POWER((S401/200),2)</f>
        <v>0</v>
      </c>
      <c r="AA401" s="63" t="n">
        <f aca="false">PI()*POWER((T401/200),2)</f>
        <v>0</v>
      </c>
      <c r="AB401" s="63" t="n">
        <f aca="false">PI()*POWER((U401/200),2)</f>
        <v>0</v>
      </c>
    </row>
    <row r="402" customFormat="false" ht="15" hidden="false" customHeight="false" outlineLevel="0" collapsed="false">
      <c r="A402" s="2" t="s">
        <v>20</v>
      </c>
      <c r="B402" s="2" t="n">
        <v>3</v>
      </c>
      <c r="C402" s="33" t="n">
        <v>46265</v>
      </c>
      <c r="D402" s="2" t="n">
        <v>2</v>
      </c>
      <c r="E402" s="2" t="s">
        <v>26</v>
      </c>
      <c r="F402" s="2" t="s">
        <v>27</v>
      </c>
      <c r="G402" s="2" t="s">
        <v>28</v>
      </c>
      <c r="H402" s="2" t="s">
        <v>95</v>
      </c>
      <c r="I402" s="2" t="s">
        <v>30</v>
      </c>
      <c r="J402" s="2" t="n">
        <v>6</v>
      </c>
      <c r="K402" s="32" t="s">
        <v>151</v>
      </c>
      <c r="L402" s="63" t="n">
        <f aca="false">SUM(V402:AB402)</f>
        <v>0.00331830724035422</v>
      </c>
      <c r="M402" s="63" t="n">
        <f aca="false">MAX(O402:U402)</f>
        <v>6.5</v>
      </c>
      <c r="N402" s="15" t="n">
        <f aca="false">COUNTIF(M402,"&gt;9.9")</f>
        <v>0</v>
      </c>
      <c r="O402" s="2" t="n">
        <v>6.5</v>
      </c>
      <c r="V402" s="63" t="n">
        <f aca="false">PI()*POWER((O402/200),2)</f>
        <v>0.00331830724035422</v>
      </c>
      <c r="W402" s="63" t="n">
        <f aca="false">PI()*POWER((P402/200),2)</f>
        <v>0</v>
      </c>
      <c r="X402" s="63" t="n">
        <f aca="false">PI()*POWER((Q402/200),2)</f>
        <v>0</v>
      </c>
      <c r="Y402" s="63" t="n">
        <f aca="false">PI()*POWER((R402/200),2)</f>
        <v>0</v>
      </c>
      <c r="Z402" s="63" t="n">
        <f aca="false">PI()*POWER((S402/200),2)</f>
        <v>0</v>
      </c>
      <c r="AA402" s="63" t="n">
        <f aca="false">PI()*POWER((T402/200),2)</f>
        <v>0</v>
      </c>
      <c r="AB402" s="63" t="n">
        <f aca="false">PI()*POWER((U402/200),2)</f>
        <v>0</v>
      </c>
    </row>
    <row r="403" customFormat="false" ht="15" hidden="false" customHeight="false" outlineLevel="0" collapsed="false">
      <c r="A403" s="2" t="s">
        <v>20</v>
      </c>
      <c r="B403" s="2" t="n">
        <v>3</v>
      </c>
      <c r="C403" s="33" t="n">
        <v>46265</v>
      </c>
      <c r="D403" s="2" t="n">
        <v>2</v>
      </c>
      <c r="E403" s="2" t="s">
        <v>26</v>
      </c>
      <c r="F403" s="2" t="s">
        <v>27</v>
      </c>
      <c r="G403" s="2" t="s">
        <v>28</v>
      </c>
      <c r="H403" s="2" t="s">
        <v>95</v>
      </c>
      <c r="I403" s="2" t="s">
        <v>30</v>
      </c>
      <c r="J403" s="2" t="n">
        <v>17</v>
      </c>
      <c r="K403" s="32" t="s">
        <v>151</v>
      </c>
      <c r="L403" s="63" t="n">
        <f aca="false">SUM(V403:AB403)</f>
        <v>0.00541060794764502</v>
      </c>
      <c r="M403" s="63" t="n">
        <f aca="false">MAX(O403:U403)</f>
        <v>8.3</v>
      </c>
      <c r="N403" s="15" t="n">
        <f aca="false">COUNTIF(M403,"&gt;9.9")</f>
        <v>0</v>
      </c>
      <c r="O403" s="2" t="n">
        <v>8.3</v>
      </c>
      <c r="V403" s="63" t="n">
        <f aca="false">PI()*POWER((O403/200),2)</f>
        <v>0.00541060794764502</v>
      </c>
      <c r="W403" s="63" t="n">
        <f aca="false">PI()*POWER((P403/200),2)</f>
        <v>0</v>
      </c>
      <c r="X403" s="63" t="n">
        <f aca="false">PI()*POWER((Q403/200),2)</f>
        <v>0</v>
      </c>
      <c r="Y403" s="63" t="n">
        <f aca="false">PI()*POWER((R403/200),2)</f>
        <v>0</v>
      </c>
      <c r="Z403" s="63" t="n">
        <f aca="false">PI()*POWER((S403/200),2)</f>
        <v>0</v>
      </c>
      <c r="AA403" s="63" t="n">
        <f aca="false">PI()*POWER((T403/200),2)</f>
        <v>0</v>
      </c>
      <c r="AB403" s="63" t="n">
        <f aca="false">PI()*POWER((U403/200),2)</f>
        <v>0</v>
      </c>
    </row>
    <row r="404" customFormat="false" ht="15" hidden="false" customHeight="false" outlineLevel="0" collapsed="false">
      <c r="A404" s="2" t="s">
        <v>20</v>
      </c>
      <c r="B404" s="2" t="n">
        <v>3</v>
      </c>
      <c r="C404" s="33" t="n">
        <v>46265</v>
      </c>
      <c r="D404" s="2" t="n">
        <v>2</v>
      </c>
      <c r="E404" s="2" t="s">
        <v>26</v>
      </c>
      <c r="F404" s="2" t="s">
        <v>27</v>
      </c>
      <c r="G404" s="2" t="s">
        <v>28</v>
      </c>
      <c r="H404" s="2" t="s">
        <v>95</v>
      </c>
      <c r="I404" s="2" t="s">
        <v>30</v>
      </c>
      <c r="J404" s="2" t="n">
        <v>16</v>
      </c>
      <c r="K404" s="32" t="s">
        <v>151</v>
      </c>
      <c r="L404" s="63" t="n">
        <f aca="false">SUM(V404:AB404)</f>
        <v>0.00636172512351933</v>
      </c>
      <c r="M404" s="63" t="n">
        <f aca="false">MAX(O404:U404)</f>
        <v>9</v>
      </c>
      <c r="N404" s="15" t="n">
        <f aca="false">COUNTIF(M404,"&gt;9.9")</f>
        <v>0</v>
      </c>
      <c r="O404" s="2" t="n">
        <v>9</v>
      </c>
      <c r="V404" s="63" t="n">
        <f aca="false">PI()*POWER((O404/200),2)</f>
        <v>0.00636172512351933</v>
      </c>
      <c r="W404" s="63" t="n">
        <f aca="false">PI()*POWER((P404/200),2)</f>
        <v>0</v>
      </c>
      <c r="X404" s="63" t="n">
        <f aca="false">PI()*POWER((Q404/200),2)</f>
        <v>0</v>
      </c>
      <c r="Y404" s="63" t="n">
        <f aca="false">PI()*POWER((R404/200),2)</f>
        <v>0</v>
      </c>
      <c r="Z404" s="63" t="n">
        <f aca="false">PI()*POWER((S404/200),2)</f>
        <v>0</v>
      </c>
      <c r="AA404" s="63" t="n">
        <f aca="false">PI()*POWER((T404/200),2)</f>
        <v>0</v>
      </c>
      <c r="AB404" s="63" t="n">
        <f aca="false">PI()*POWER((U404/200),2)</f>
        <v>0</v>
      </c>
    </row>
    <row r="405" customFormat="false" ht="15" hidden="false" customHeight="false" outlineLevel="0" collapsed="false">
      <c r="A405" s="2" t="s">
        <v>20</v>
      </c>
      <c r="B405" s="2" t="n">
        <v>3</v>
      </c>
      <c r="C405" s="33" t="n">
        <v>46265</v>
      </c>
      <c r="D405" s="2" t="n">
        <v>2</v>
      </c>
      <c r="E405" s="2" t="s">
        <v>26</v>
      </c>
      <c r="F405" s="2" t="s">
        <v>27</v>
      </c>
      <c r="G405" s="2" t="s">
        <v>28</v>
      </c>
      <c r="H405" s="2" t="s">
        <v>95</v>
      </c>
      <c r="I405" s="2" t="s">
        <v>30</v>
      </c>
      <c r="J405" s="2" t="n">
        <v>24</v>
      </c>
      <c r="K405" s="32" t="s">
        <v>151</v>
      </c>
      <c r="L405" s="63" t="n">
        <f aca="false">SUM(V405:AB405)</f>
        <v>0.0084948665353068</v>
      </c>
      <c r="M405" s="63" t="n">
        <f aca="false">MAX(O405:U405)</f>
        <v>10.4</v>
      </c>
      <c r="N405" s="15" t="n">
        <f aca="false">COUNTIF(M405,"&gt;9.9")</f>
        <v>1</v>
      </c>
      <c r="O405" s="2" t="n">
        <v>10.4</v>
      </c>
      <c r="V405" s="63" t="n">
        <f aca="false">PI()*POWER((O405/200),2)</f>
        <v>0.0084948665353068</v>
      </c>
      <c r="W405" s="63" t="n">
        <f aca="false">PI()*POWER((P405/200),2)</f>
        <v>0</v>
      </c>
      <c r="X405" s="63" t="n">
        <f aca="false">PI()*POWER((Q405/200),2)</f>
        <v>0</v>
      </c>
      <c r="Y405" s="63" t="n">
        <f aca="false">PI()*POWER((R405/200),2)</f>
        <v>0</v>
      </c>
      <c r="Z405" s="63" t="n">
        <f aca="false">PI()*POWER((S405/200),2)</f>
        <v>0</v>
      </c>
      <c r="AA405" s="63" t="n">
        <f aca="false">PI()*POWER((T405/200),2)</f>
        <v>0</v>
      </c>
      <c r="AB405" s="63" t="n">
        <f aca="false">PI()*POWER((U405/200),2)</f>
        <v>0</v>
      </c>
    </row>
    <row r="406" customFormat="false" ht="15" hidden="false" customHeight="false" outlineLevel="0" collapsed="false">
      <c r="A406" s="2" t="s">
        <v>20</v>
      </c>
      <c r="B406" s="2" t="n">
        <v>3</v>
      </c>
      <c r="C406" s="33" t="n">
        <v>46265</v>
      </c>
      <c r="D406" s="2" t="n">
        <v>2</v>
      </c>
      <c r="E406" s="2" t="s">
        <v>26</v>
      </c>
      <c r="F406" s="2" t="s">
        <v>27</v>
      </c>
      <c r="G406" s="2" t="s">
        <v>28</v>
      </c>
      <c r="H406" s="2" t="s">
        <v>95</v>
      </c>
      <c r="I406" s="2" t="s">
        <v>30</v>
      </c>
      <c r="J406" s="2" t="n">
        <v>9</v>
      </c>
      <c r="K406" s="32" t="s">
        <v>151</v>
      </c>
      <c r="L406" s="63" t="n">
        <f aca="false">SUM(V406:AB406)</f>
        <v>0.00950331777710912</v>
      </c>
      <c r="M406" s="63" t="n">
        <f aca="false">MAX(O406:U406)</f>
        <v>11</v>
      </c>
      <c r="N406" s="15" t="n">
        <f aca="false">COUNTIF(M406,"&gt;9.9")</f>
        <v>1</v>
      </c>
      <c r="O406" s="2" t="n">
        <v>11</v>
      </c>
      <c r="V406" s="63" t="n">
        <f aca="false">PI()*POWER((O406/200),2)</f>
        <v>0.00950331777710912</v>
      </c>
      <c r="W406" s="63" t="n">
        <f aca="false">PI()*POWER((P406/200),2)</f>
        <v>0</v>
      </c>
      <c r="X406" s="63" t="n">
        <f aca="false">PI()*POWER((Q406/200),2)</f>
        <v>0</v>
      </c>
      <c r="Y406" s="63" t="n">
        <f aca="false">PI()*POWER((R406/200),2)</f>
        <v>0</v>
      </c>
      <c r="Z406" s="63" t="n">
        <f aca="false">PI()*POWER((S406/200),2)</f>
        <v>0</v>
      </c>
      <c r="AA406" s="63" t="n">
        <f aca="false">PI()*POWER((T406/200),2)</f>
        <v>0</v>
      </c>
      <c r="AB406" s="63" t="n">
        <f aca="false">PI()*POWER((U406/200),2)</f>
        <v>0</v>
      </c>
    </row>
    <row r="407" customFormat="false" ht="15" hidden="false" customHeight="false" outlineLevel="0" collapsed="false">
      <c r="A407" s="2" t="s">
        <v>20</v>
      </c>
      <c r="B407" s="2" t="n">
        <v>3</v>
      </c>
      <c r="C407" s="33" t="n">
        <v>46265</v>
      </c>
      <c r="D407" s="2" t="n">
        <v>2</v>
      </c>
      <c r="E407" s="2" t="s">
        <v>26</v>
      </c>
      <c r="F407" s="2" t="s">
        <v>27</v>
      </c>
      <c r="G407" s="2" t="s">
        <v>28</v>
      </c>
      <c r="H407" s="2" t="s">
        <v>95</v>
      </c>
      <c r="I407" s="2" t="s">
        <v>30</v>
      </c>
      <c r="J407" s="2" t="n">
        <v>39</v>
      </c>
      <c r="K407" s="32" t="s">
        <v>151</v>
      </c>
      <c r="L407" s="63" t="n">
        <f aca="false">SUM(V407:AB407)</f>
        <v>0.0184921997571929</v>
      </c>
      <c r="M407" s="63" t="n">
        <f aca="false">MAX(O407:U407)</f>
        <v>14.4</v>
      </c>
      <c r="N407" s="15" t="n">
        <f aca="false">COUNTIF(M407,"&gt;9.9")</f>
        <v>1</v>
      </c>
      <c r="O407" s="2" t="n">
        <v>14.4</v>
      </c>
      <c r="P407" s="2" t="n">
        <v>5.3</v>
      </c>
      <c r="V407" s="63" t="n">
        <f aca="false">PI()*POWER((O407/200),2)</f>
        <v>0.0162860163162095</v>
      </c>
      <c r="W407" s="63" t="n">
        <f aca="false">PI()*POWER((P407/200),2)</f>
        <v>0.00220618344098343</v>
      </c>
      <c r="X407" s="63" t="n">
        <f aca="false">PI()*POWER((Q407/200),2)</f>
        <v>0</v>
      </c>
      <c r="Y407" s="63" t="n">
        <f aca="false">PI()*POWER((R407/200),2)</f>
        <v>0</v>
      </c>
      <c r="Z407" s="63" t="n">
        <f aca="false">PI()*POWER((S407/200),2)</f>
        <v>0</v>
      </c>
      <c r="AA407" s="63" t="n">
        <f aca="false">PI()*POWER((T407/200),2)</f>
        <v>0</v>
      </c>
      <c r="AB407" s="63" t="n">
        <f aca="false">PI()*POWER((U407/200),2)</f>
        <v>0</v>
      </c>
    </row>
    <row r="408" customFormat="false" ht="15" hidden="false" customHeight="false" outlineLevel="0" collapsed="false">
      <c r="A408" s="2" t="s">
        <v>20</v>
      </c>
      <c r="B408" s="2" t="n">
        <v>3</v>
      </c>
      <c r="C408" s="33" t="n">
        <v>46265</v>
      </c>
      <c r="D408" s="2" t="n">
        <v>2</v>
      </c>
      <c r="E408" s="2" t="s">
        <v>26</v>
      </c>
      <c r="F408" s="2" t="s">
        <v>27</v>
      </c>
      <c r="G408" s="2" t="s">
        <v>28</v>
      </c>
      <c r="H408" s="2" t="s">
        <v>95</v>
      </c>
      <c r="I408" s="2" t="s">
        <v>30</v>
      </c>
      <c r="J408" s="2" t="n">
        <v>127</v>
      </c>
      <c r="K408" s="2" t="s">
        <v>152</v>
      </c>
      <c r="L408" s="63" t="n">
        <f aca="false">SUM(V408:AB408)</f>
        <v>0</v>
      </c>
      <c r="M408" s="63" t="n">
        <f aca="false">MAX(O408:U408)</f>
        <v>0</v>
      </c>
      <c r="N408" s="15" t="n">
        <f aca="false">COUNTIF(M408,"&gt;9.9")</f>
        <v>0</v>
      </c>
      <c r="O408" s="2" t="s">
        <v>88</v>
      </c>
      <c r="V408" s="63"/>
      <c r="W408" s="63" t="n">
        <f aca="false">PI()*POWER((P408/200),2)</f>
        <v>0</v>
      </c>
      <c r="X408" s="63" t="n">
        <f aca="false">PI()*POWER((Q408/200),2)</f>
        <v>0</v>
      </c>
      <c r="Y408" s="63" t="n">
        <f aca="false">PI()*POWER((R408/200),2)</f>
        <v>0</v>
      </c>
      <c r="Z408" s="63" t="n">
        <f aca="false">PI()*POWER((S408/200),2)</f>
        <v>0</v>
      </c>
      <c r="AA408" s="63" t="n">
        <f aca="false">PI()*POWER((T408/200),2)</f>
        <v>0</v>
      </c>
      <c r="AB408" s="63" t="n">
        <f aca="false">PI()*POWER((U408/200),2)</f>
        <v>0</v>
      </c>
    </row>
    <row r="409" customFormat="false" ht="15" hidden="false" customHeight="false" outlineLevel="0" collapsed="false">
      <c r="A409" s="2" t="s">
        <v>20</v>
      </c>
      <c r="B409" s="2" t="n">
        <v>3</v>
      </c>
      <c r="C409" s="33" t="n">
        <v>46265</v>
      </c>
      <c r="D409" s="2" t="n">
        <v>2</v>
      </c>
      <c r="E409" s="2" t="s">
        <v>26</v>
      </c>
      <c r="F409" s="2" t="s">
        <v>27</v>
      </c>
      <c r="G409" s="2" t="s">
        <v>28</v>
      </c>
      <c r="H409" s="2" t="s">
        <v>95</v>
      </c>
      <c r="I409" s="2" t="s">
        <v>30</v>
      </c>
      <c r="J409" s="2" t="n">
        <v>140</v>
      </c>
      <c r="K409" s="2" t="s">
        <v>152</v>
      </c>
      <c r="L409" s="63" t="n">
        <f aca="false">SUM(V409:AB409)</f>
        <v>0.000314159265358979</v>
      </c>
      <c r="M409" s="63" t="n">
        <f aca="false">MAX(O409:U409)</f>
        <v>2</v>
      </c>
      <c r="N409" s="15" t="n">
        <f aca="false">COUNTIF(M409,"&gt;9.9")</f>
        <v>0</v>
      </c>
      <c r="O409" s="2" t="n">
        <v>2</v>
      </c>
      <c r="V409" s="63" t="n">
        <f aca="false">PI()*POWER((O409/200),2)</f>
        <v>0.000314159265358979</v>
      </c>
      <c r="W409" s="63" t="n">
        <f aca="false">PI()*POWER((P409/200),2)</f>
        <v>0</v>
      </c>
      <c r="X409" s="63" t="n">
        <f aca="false">PI()*POWER((Q409/200),2)</f>
        <v>0</v>
      </c>
      <c r="Y409" s="63" t="n">
        <f aca="false">PI()*POWER((R409/200),2)</f>
        <v>0</v>
      </c>
      <c r="Z409" s="63" t="n">
        <f aca="false">PI()*POWER((S409/200),2)</f>
        <v>0</v>
      </c>
      <c r="AA409" s="63" t="n">
        <f aca="false">PI()*POWER((T409/200),2)</f>
        <v>0</v>
      </c>
      <c r="AB409" s="63" t="n">
        <f aca="false">PI()*POWER((U409/200),2)</f>
        <v>0</v>
      </c>
    </row>
    <row r="410" customFormat="false" ht="15" hidden="false" customHeight="false" outlineLevel="0" collapsed="false">
      <c r="A410" s="2" t="s">
        <v>20</v>
      </c>
      <c r="B410" s="2" t="n">
        <v>3</v>
      </c>
      <c r="C410" s="33" t="n">
        <v>46265</v>
      </c>
      <c r="D410" s="2" t="n">
        <v>2</v>
      </c>
      <c r="E410" s="2" t="s">
        <v>26</v>
      </c>
      <c r="F410" s="2" t="s">
        <v>27</v>
      </c>
      <c r="G410" s="2" t="s">
        <v>28</v>
      </c>
      <c r="H410" s="2" t="s">
        <v>95</v>
      </c>
      <c r="I410" s="2" t="s">
        <v>30</v>
      </c>
      <c r="J410" s="2" t="n">
        <v>144</v>
      </c>
      <c r="K410" s="2" t="s">
        <v>152</v>
      </c>
      <c r="L410" s="63" t="n">
        <f aca="false">SUM(V410:AB410)</f>
        <v>0.000314159265358979</v>
      </c>
      <c r="M410" s="63" t="n">
        <f aca="false">MAX(O410:U410)</f>
        <v>2</v>
      </c>
      <c r="N410" s="15" t="n">
        <f aca="false">COUNTIF(M410,"&gt;9.9")</f>
        <v>0</v>
      </c>
      <c r="O410" s="2" t="n">
        <v>2</v>
      </c>
      <c r="V410" s="63" t="n">
        <f aca="false">PI()*POWER((O410/200),2)</f>
        <v>0.000314159265358979</v>
      </c>
      <c r="W410" s="63" t="n">
        <f aca="false">PI()*POWER((P410/200),2)</f>
        <v>0</v>
      </c>
      <c r="X410" s="63" t="n">
        <f aca="false">PI()*POWER((Q410/200),2)</f>
        <v>0</v>
      </c>
      <c r="Y410" s="63" t="n">
        <f aca="false">PI()*POWER((R410/200),2)</f>
        <v>0</v>
      </c>
      <c r="Z410" s="63" t="n">
        <f aca="false">PI()*POWER((S410/200),2)</f>
        <v>0</v>
      </c>
      <c r="AA410" s="63" t="n">
        <f aca="false">PI()*POWER((T410/200),2)</f>
        <v>0</v>
      </c>
      <c r="AB410" s="63" t="n">
        <f aca="false">PI()*POWER((U410/200),2)</f>
        <v>0</v>
      </c>
    </row>
    <row r="411" customFormat="false" ht="15" hidden="false" customHeight="false" outlineLevel="0" collapsed="false">
      <c r="A411" s="2" t="s">
        <v>20</v>
      </c>
      <c r="B411" s="2" t="n">
        <v>3</v>
      </c>
      <c r="C411" s="33" t="n">
        <v>46265</v>
      </c>
      <c r="D411" s="2" t="n">
        <v>2</v>
      </c>
      <c r="E411" s="2" t="s">
        <v>26</v>
      </c>
      <c r="F411" s="2" t="s">
        <v>27</v>
      </c>
      <c r="G411" s="2" t="s">
        <v>28</v>
      </c>
      <c r="H411" s="2" t="s">
        <v>95</v>
      </c>
      <c r="I411" s="2" t="s">
        <v>30</v>
      </c>
      <c r="J411" s="2" t="n">
        <v>65</v>
      </c>
      <c r="K411" s="2" t="s">
        <v>152</v>
      </c>
      <c r="L411" s="63" t="n">
        <f aca="false">SUM(V411:AB411)</f>
        <v>0.000490873852123405</v>
      </c>
      <c r="M411" s="63" t="n">
        <f aca="false">MAX(O411:U411)</f>
        <v>2.5</v>
      </c>
      <c r="N411" s="15" t="n">
        <f aca="false">COUNTIF(M411,"&gt;9.9")</f>
        <v>0</v>
      </c>
      <c r="O411" s="2" t="n">
        <v>2.5</v>
      </c>
      <c r="V411" s="63" t="n">
        <f aca="false">PI()*POWER((O411/200),2)</f>
        <v>0.000490873852123405</v>
      </c>
      <c r="W411" s="63" t="n">
        <f aca="false">PI()*POWER((P411/200),2)</f>
        <v>0</v>
      </c>
      <c r="X411" s="63" t="n">
        <f aca="false">PI()*POWER((Q411/200),2)</f>
        <v>0</v>
      </c>
      <c r="Y411" s="63" t="n">
        <f aca="false">PI()*POWER((R411/200),2)</f>
        <v>0</v>
      </c>
      <c r="Z411" s="63" t="n">
        <f aca="false">PI()*POWER((S411/200),2)</f>
        <v>0</v>
      </c>
      <c r="AA411" s="63" t="n">
        <f aca="false">PI()*POWER((T411/200),2)</f>
        <v>0</v>
      </c>
      <c r="AB411" s="63" t="n">
        <f aca="false">PI()*POWER((U411/200),2)</f>
        <v>0</v>
      </c>
    </row>
    <row r="412" customFormat="false" ht="15" hidden="false" customHeight="false" outlineLevel="0" collapsed="false">
      <c r="A412" s="2" t="s">
        <v>20</v>
      </c>
      <c r="B412" s="2" t="n">
        <v>3</v>
      </c>
      <c r="C412" s="33" t="n">
        <v>46265</v>
      </c>
      <c r="D412" s="2" t="n">
        <v>2</v>
      </c>
      <c r="E412" s="2" t="s">
        <v>26</v>
      </c>
      <c r="F412" s="2" t="s">
        <v>27</v>
      </c>
      <c r="G412" s="2" t="s">
        <v>28</v>
      </c>
      <c r="H412" s="2" t="s">
        <v>95</v>
      </c>
      <c r="I412" s="2" t="s">
        <v>30</v>
      </c>
      <c r="J412" s="2" t="n">
        <v>108</v>
      </c>
      <c r="K412" s="2" t="s">
        <v>152</v>
      </c>
      <c r="L412" s="63" t="n">
        <f aca="false">SUM(V412:AB412)</f>
        <v>0.000490873852123405</v>
      </c>
      <c r="M412" s="63" t="n">
        <f aca="false">MAX(O412:U412)</f>
        <v>2.5</v>
      </c>
      <c r="N412" s="15" t="n">
        <f aca="false">COUNTIF(M412,"&gt;9.9")</f>
        <v>0</v>
      </c>
      <c r="O412" s="2" t="n">
        <v>2.5</v>
      </c>
      <c r="V412" s="63" t="n">
        <f aca="false">PI()*POWER((O412/200),2)</f>
        <v>0.000490873852123405</v>
      </c>
      <c r="W412" s="63" t="n">
        <f aca="false">PI()*POWER((P412/200),2)</f>
        <v>0</v>
      </c>
      <c r="X412" s="63" t="n">
        <f aca="false">PI()*POWER((Q412/200),2)</f>
        <v>0</v>
      </c>
      <c r="Y412" s="63" t="n">
        <f aca="false">PI()*POWER((R412/200),2)</f>
        <v>0</v>
      </c>
      <c r="Z412" s="63" t="n">
        <f aca="false">PI()*POWER((S412/200),2)</f>
        <v>0</v>
      </c>
      <c r="AA412" s="63" t="n">
        <f aca="false">PI()*POWER((T412/200),2)</f>
        <v>0</v>
      </c>
      <c r="AB412" s="63" t="n">
        <f aca="false">PI()*POWER((U412/200),2)</f>
        <v>0</v>
      </c>
    </row>
    <row r="413" customFormat="false" ht="15" hidden="false" customHeight="false" outlineLevel="0" collapsed="false">
      <c r="A413" s="2" t="s">
        <v>20</v>
      </c>
      <c r="B413" s="2" t="n">
        <v>3</v>
      </c>
      <c r="C413" s="33" t="n">
        <v>46265</v>
      </c>
      <c r="D413" s="2" t="n">
        <v>2</v>
      </c>
      <c r="E413" s="2" t="s">
        <v>26</v>
      </c>
      <c r="F413" s="2" t="s">
        <v>27</v>
      </c>
      <c r="G413" s="2" t="s">
        <v>28</v>
      </c>
      <c r="H413" s="2" t="s">
        <v>95</v>
      </c>
      <c r="I413" s="2" t="s">
        <v>30</v>
      </c>
      <c r="J413" s="2" t="n">
        <v>91</v>
      </c>
      <c r="K413" s="2" t="s">
        <v>152</v>
      </c>
      <c r="L413" s="63" t="n">
        <f aca="false">SUM(V413:AB413)</f>
        <v>0.00057255526111674</v>
      </c>
      <c r="M413" s="63" t="n">
        <f aca="false">MAX(O413:U413)</f>
        <v>2.7</v>
      </c>
      <c r="N413" s="15" t="n">
        <f aca="false">COUNTIF(M413,"&gt;9.9")</f>
        <v>0</v>
      </c>
      <c r="O413" s="2" t="n">
        <v>2.7</v>
      </c>
      <c r="V413" s="63" t="n">
        <f aca="false">PI()*POWER((O413/200),2)</f>
        <v>0.00057255526111674</v>
      </c>
      <c r="W413" s="63" t="n">
        <f aca="false">PI()*POWER((P413/200),2)</f>
        <v>0</v>
      </c>
      <c r="X413" s="63" t="n">
        <f aca="false">PI()*POWER((Q413/200),2)</f>
        <v>0</v>
      </c>
      <c r="Y413" s="63" t="n">
        <f aca="false">PI()*POWER((R413/200),2)</f>
        <v>0</v>
      </c>
      <c r="Z413" s="63" t="n">
        <f aca="false">PI()*POWER((S413/200),2)</f>
        <v>0</v>
      </c>
      <c r="AA413" s="63" t="n">
        <f aca="false">PI()*POWER((T413/200),2)</f>
        <v>0</v>
      </c>
      <c r="AB413" s="63" t="n">
        <f aca="false">PI()*POWER((U413/200),2)</f>
        <v>0</v>
      </c>
    </row>
    <row r="414" customFormat="false" ht="15" hidden="false" customHeight="false" outlineLevel="0" collapsed="false">
      <c r="A414" s="2" t="s">
        <v>20</v>
      </c>
      <c r="B414" s="2" t="n">
        <v>3</v>
      </c>
      <c r="C414" s="33" t="n">
        <v>46265</v>
      </c>
      <c r="D414" s="2" t="n">
        <v>2</v>
      </c>
      <c r="E414" s="2" t="s">
        <v>26</v>
      </c>
      <c r="F414" s="2" t="s">
        <v>27</v>
      </c>
      <c r="G414" s="2" t="s">
        <v>28</v>
      </c>
      <c r="H414" s="2" t="s">
        <v>95</v>
      </c>
      <c r="I414" s="2" t="s">
        <v>30</v>
      </c>
      <c r="J414" s="2" t="n">
        <v>54</v>
      </c>
      <c r="K414" s="2" t="s">
        <v>152</v>
      </c>
      <c r="L414" s="63" t="n">
        <f aca="false">SUM(V414:AB414)</f>
        <v>0.000754767635024948</v>
      </c>
      <c r="M414" s="63" t="n">
        <f aca="false">MAX(O414:U414)</f>
        <v>3.1</v>
      </c>
      <c r="N414" s="15" t="n">
        <f aca="false">COUNTIF(M414,"&gt;9.9")</f>
        <v>0</v>
      </c>
      <c r="O414" s="2" t="n">
        <v>3.1</v>
      </c>
      <c r="V414" s="63" t="n">
        <f aca="false">PI()*POWER((O414/200),2)</f>
        <v>0.000754767635024948</v>
      </c>
      <c r="W414" s="63" t="n">
        <f aca="false">PI()*POWER((P414/200),2)</f>
        <v>0</v>
      </c>
      <c r="X414" s="63" t="n">
        <f aca="false">PI()*POWER((Q414/200),2)</f>
        <v>0</v>
      </c>
      <c r="Y414" s="63" t="n">
        <f aca="false">PI()*POWER((R414/200),2)</f>
        <v>0</v>
      </c>
      <c r="Z414" s="63" t="n">
        <f aca="false">PI()*POWER((S414/200),2)</f>
        <v>0</v>
      </c>
      <c r="AA414" s="63" t="n">
        <f aca="false">PI()*POWER((T414/200),2)</f>
        <v>0</v>
      </c>
      <c r="AB414" s="63" t="n">
        <f aca="false">PI()*POWER((U414/200),2)</f>
        <v>0</v>
      </c>
    </row>
    <row r="415" customFormat="false" ht="15" hidden="false" customHeight="false" outlineLevel="0" collapsed="false">
      <c r="A415" s="2" t="s">
        <v>20</v>
      </c>
      <c r="B415" s="2" t="n">
        <v>3</v>
      </c>
      <c r="C415" s="33" t="n">
        <v>46265</v>
      </c>
      <c r="D415" s="2" t="n">
        <v>2</v>
      </c>
      <c r="E415" s="2" t="s">
        <v>26</v>
      </c>
      <c r="F415" s="2" t="s">
        <v>27</v>
      </c>
      <c r="G415" s="2" t="s">
        <v>28</v>
      </c>
      <c r="H415" s="2" t="s">
        <v>95</v>
      </c>
      <c r="I415" s="2" t="s">
        <v>30</v>
      </c>
      <c r="J415" s="2" t="n">
        <v>94</v>
      </c>
      <c r="K415" s="2" t="s">
        <v>152</v>
      </c>
      <c r="L415" s="63" t="n">
        <f aca="false">SUM(V415:AB415)</f>
        <v>0.00113411494794592</v>
      </c>
      <c r="M415" s="63" t="n">
        <f aca="false">MAX(O415:U415)</f>
        <v>3.8</v>
      </c>
      <c r="N415" s="15" t="n">
        <f aca="false">COUNTIF(M415,"&gt;9.9")</f>
        <v>0</v>
      </c>
      <c r="O415" s="2" t="n">
        <v>3.8</v>
      </c>
      <c r="V415" s="63" t="n">
        <f aca="false">PI()*POWER((O415/200),2)</f>
        <v>0.00113411494794592</v>
      </c>
      <c r="W415" s="63" t="n">
        <f aca="false">PI()*POWER((P415/200),2)</f>
        <v>0</v>
      </c>
      <c r="X415" s="63" t="n">
        <f aca="false">PI()*POWER((Q415/200),2)</f>
        <v>0</v>
      </c>
      <c r="Y415" s="63" t="n">
        <f aca="false">PI()*POWER((R415/200),2)</f>
        <v>0</v>
      </c>
      <c r="Z415" s="63" t="n">
        <f aca="false">PI()*POWER((S415/200),2)</f>
        <v>0</v>
      </c>
      <c r="AA415" s="63" t="n">
        <f aca="false">PI()*POWER((T415/200),2)</f>
        <v>0</v>
      </c>
      <c r="AB415" s="63" t="n">
        <f aca="false">PI()*POWER((U415/200),2)</f>
        <v>0</v>
      </c>
    </row>
    <row r="416" customFormat="false" ht="15" hidden="false" customHeight="false" outlineLevel="0" collapsed="false">
      <c r="A416" s="2" t="s">
        <v>20</v>
      </c>
      <c r="B416" s="2" t="n">
        <v>3</v>
      </c>
      <c r="C416" s="33" t="n">
        <v>46265</v>
      </c>
      <c r="D416" s="2" t="n">
        <v>2</v>
      </c>
      <c r="E416" s="2" t="s">
        <v>26</v>
      </c>
      <c r="F416" s="2" t="s">
        <v>27</v>
      </c>
      <c r="G416" s="2" t="s">
        <v>28</v>
      </c>
      <c r="H416" s="2" t="s">
        <v>95</v>
      </c>
      <c r="I416" s="2" t="s">
        <v>30</v>
      </c>
      <c r="J416" s="2" t="n">
        <v>141</v>
      </c>
      <c r="K416" s="2" t="s">
        <v>152</v>
      </c>
      <c r="L416" s="63" t="n">
        <f aca="false">SUM(V416:AB416)</f>
        <v>0.00113411494794592</v>
      </c>
      <c r="M416" s="63" t="n">
        <f aca="false">MAX(O416:U416)</f>
        <v>3.8</v>
      </c>
      <c r="N416" s="15" t="n">
        <f aca="false">COUNTIF(M416,"&gt;9.9")</f>
        <v>0</v>
      </c>
      <c r="O416" s="2" t="n">
        <v>3.8</v>
      </c>
      <c r="V416" s="63" t="n">
        <f aca="false">PI()*POWER((O416/200),2)</f>
        <v>0.00113411494794592</v>
      </c>
      <c r="W416" s="63" t="n">
        <f aca="false">PI()*POWER((P416/200),2)</f>
        <v>0</v>
      </c>
      <c r="X416" s="63" t="n">
        <f aca="false">PI()*POWER((Q416/200),2)</f>
        <v>0</v>
      </c>
      <c r="Y416" s="63" t="n">
        <f aca="false">PI()*POWER((R416/200),2)</f>
        <v>0</v>
      </c>
      <c r="Z416" s="63" t="n">
        <f aca="false">PI()*POWER((S416/200),2)</f>
        <v>0</v>
      </c>
      <c r="AA416" s="63" t="n">
        <f aca="false">PI()*POWER((T416/200),2)</f>
        <v>0</v>
      </c>
      <c r="AB416" s="63" t="n">
        <f aca="false">PI()*POWER((U416/200),2)</f>
        <v>0</v>
      </c>
    </row>
    <row r="417" customFormat="false" ht="15" hidden="false" customHeight="false" outlineLevel="0" collapsed="false">
      <c r="A417" s="2" t="s">
        <v>20</v>
      </c>
      <c r="B417" s="2" t="n">
        <v>3</v>
      </c>
      <c r="C417" s="33" t="n">
        <v>46265</v>
      </c>
      <c r="D417" s="2" t="n">
        <v>2</v>
      </c>
      <c r="E417" s="2" t="s">
        <v>26</v>
      </c>
      <c r="F417" s="2" t="s">
        <v>27</v>
      </c>
      <c r="G417" s="2" t="s">
        <v>28</v>
      </c>
      <c r="H417" s="2" t="s">
        <v>95</v>
      </c>
      <c r="I417" s="2" t="s">
        <v>30</v>
      </c>
      <c r="J417" s="2" t="n">
        <v>67</v>
      </c>
      <c r="K417" s="2" t="s">
        <v>152</v>
      </c>
      <c r="L417" s="63" t="n">
        <f aca="false">SUM(V417:AB417)</f>
        <v>0.00132025431267111</v>
      </c>
      <c r="M417" s="63" t="n">
        <f aca="false">MAX(O417:U417)</f>
        <v>4.1</v>
      </c>
      <c r="N417" s="15" t="n">
        <f aca="false">COUNTIF(M417,"&gt;9.9")</f>
        <v>0</v>
      </c>
      <c r="O417" s="2" t="n">
        <v>4.1</v>
      </c>
      <c r="V417" s="63" t="n">
        <f aca="false">PI()*POWER((O417/200),2)</f>
        <v>0.00132025431267111</v>
      </c>
      <c r="W417" s="63" t="n">
        <f aca="false">PI()*POWER((P417/200),2)</f>
        <v>0</v>
      </c>
      <c r="X417" s="63" t="n">
        <f aca="false">PI()*POWER((Q417/200),2)</f>
        <v>0</v>
      </c>
      <c r="Y417" s="63" t="n">
        <f aca="false">PI()*POWER((R417/200),2)</f>
        <v>0</v>
      </c>
      <c r="Z417" s="63" t="n">
        <f aca="false">PI()*POWER((S417/200),2)</f>
        <v>0</v>
      </c>
      <c r="AA417" s="63" t="n">
        <f aca="false">PI()*POWER((T417/200),2)</f>
        <v>0</v>
      </c>
      <c r="AB417" s="63" t="n">
        <f aca="false">PI()*POWER((U417/200),2)</f>
        <v>0</v>
      </c>
    </row>
    <row r="418" customFormat="false" ht="15" hidden="false" customHeight="false" outlineLevel="0" collapsed="false">
      <c r="A418" s="2" t="s">
        <v>20</v>
      </c>
      <c r="B418" s="2" t="n">
        <v>3</v>
      </c>
      <c r="C418" s="33" t="n">
        <v>46265</v>
      </c>
      <c r="D418" s="2" t="n">
        <v>2</v>
      </c>
      <c r="E418" s="2" t="s">
        <v>26</v>
      </c>
      <c r="F418" s="2" t="s">
        <v>27</v>
      </c>
      <c r="G418" s="2" t="s">
        <v>28</v>
      </c>
      <c r="H418" s="2" t="s">
        <v>95</v>
      </c>
      <c r="I418" s="2" t="s">
        <v>30</v>
      </c>
      <c r="J418" s="2" t="n">
        <v>98</v>
      </c>
      <c r="K418" s="2" t="s">
        <v>152</v>
      </c>
      <c r="L418" s="63" t="n">
        <f aca="false">SUM(V418:AB418)</f>
        <v>0.00159043128087983</v>
      </c>
      <c r="M418" s="63" t="n">
        <f aca="false">MAX(O418:U418)</f>
        <v>4.5</v>
      </c>
      <c r="N418" s="15" t="n">
        <f aca="false">COUNTIF(M418,"&gt;9.9")</f>
        <v>0</v>
      </c>
      <c r="O418" s="2" t="n">
        <v>4.5</v>
      </c>
      <c r="V418" s="63" t="n">
        <f aca="false">PI()*POWER((O418/200),2)</f>
        <v>0.00159043128087983</v>
      </c>
      <c r="W418" s="63" t="n">
        <f aca="false">PI()*POWER((P418/200),2)</f>
        <v>0</v>
      </c>
      <c r="X418" s="63" t="n">
        <f aca="false">PI()*POWER((Q418/200),2)</f>
        <v>0</v>
      </c>
      <c r="Y418" s="63" t="n">
        <f aca="false">PI()*POWER((R418/200),2)</f>
        <v>0</v>
      </c>
      <c r="Z418" s="63" t="n">
        <f aca="false">PI()*POWER((S418/200),2)</f>
        <v>0</v>
      </c>
      <c r="AA418" s="63" t="n">
        <f aca="false">PI()*POWER((T418/200),2)</f>
        <v>0</v>
      </c>
      <c r="AB418" s="63" t="n">
        <f aca="false">PI()*POWER((U418/200),2)</f>
        <v>0</v>
      </c>
    </row>
    <row r="419" customFormat="false" ht="15" hidden="false" customHeight="false" outlineLevel="0" collapsed="false">
      <c r="A419" s="2" t="s">
        <v>20</v>
      </c>
      <c r="B419" s="2" t="n">
        <v>3</v>
      </c>
      <c r="C419" s="33" t="n">
        <v>46265</v>
      </c>
      <c r="D419" s="2" t="n">
        <v>2</v>
      </c>
      <c r="E419" s="2" t="s">
        <v>26</v>
      </c>
      <c r="F419" s="2" t="s">
        <v>27</v>
      </c>
      <c r="G419" s="2" t="s">
        <v>28</v>
      </c>
      <c r="H419" s="2" t="s">
        <v>95</v>
      </c>
      <c r="I419" s="2" t="s">
        <v>30</v>
      </c>
      <c r="J419" s="2" t="n">
        <v>126</v>
      </c>
      <c r="K419" s="2" t="s">
        <v>152</v>
      </c>
      <c r="L419" s="63" t="n">
        <f aca="false">SUM(V419:AB419)</f>
        <v>0.00159043128087983</v>
      </c>
      <c r="M419" s="63" t="n">
        <f aca="false">MAX(O419:U419)</f>
        <v>4.5</v>
      </c>
      <c r="N419" s="15" t="n">
        <f aca="false">COUNTIF(M419,"&gt;9.9")</f>
        <v>0</v>
      </c>
      <c r="O419" s="2" t="n">
        <v>4.5</v>
      </c>
      <c r="V419" s="63" t="n">
        <f aca="false">PI()*POWER((O419/200),2)</f>
        <v>0.00159043128087983</v>
      </c>
      <c r="W419" s="63" t="n">
        <f aca="false">PI()*POWER((P419/200),2)</f>
        <v>0</v>
      </c>
      <c r="X419" s="63" t="n">
        <f aca="false">PI()*POWER((Q419/200),2)</f>
        <v>0</v>
      </c>
      <c r="Y419" s="63" t="n">
        <f aca="false">PI()*POWER((R419/200),2)</f>
        <v>0</v>
      </c>
      <c r="Z419" s="63" t="n">
        <f aca="false">PI()*POWER((S419/200),2)</f>
        <v>0</v>
      </c>
      <c r="AA419" s="63" t="n">
        <f aca="false">PI()*POWER((T419/200),2)</f>
        <v>0</v>
      </c>
      <c r="AB419" s="63" t="n">
        <f aca="false">PI()*POWER((U419/200),2)</f>
        <v>0</v>
      </c>
    </row>
    <row r="420" customFormat="false" ht="15" hidden="false" customHeight="false" outlineLevel="0" collapsed="false">
      <c r="A420" s="2" t="s">
        <v>20</v>
      </c>
      <c r="B420" s="2" t="n">
        <v>3</v>
      </c>
      <c r="C420" s="33" t="n">
        <v>46265</v>
      </c>
      <c r="D420" s="2" t="n">
        <v>2</v>
      </c>
      <c r="E420" s="2" t="s">
        <v>26</v>
      </c>
      <c r="F420" s="2" t="s">
        <v>27</v>
      </c>
      <c r="G420" s="2" t="s">
        <v>28</v>
      </c>
      <c r="H420" s="2" t="s">
        <v>95</v>
      </c>
      <c r="I420" s="2" t="s">
        <v>30</v>
      </c>
      <c r="J420" s="2" t="n">
        <v>71</v>
      </c>
      <c r="K420" s="2" t="s">
        <v>152</v>
      </c>
      <c r="L420" s="63" t="n">
        <f aca="false">SUM(V420:AB420)</f>
        <v>0.00173494454294496</v>
      </c>
      <c r="M420" s="63" t="n">
        <f aca="false">MAX(O420:U420)</f>
        <v>4.7</v>
      </c>
      <c r="N420" s="15" t="n">
        <f aca="false">COUNTIF(M420,"&gt;9.9")</f>
        <v>0</v>
      </c>
      <c r="O420" s="2" t="n">
        <v>4.7</v>
      </c>
      <c r="V420" s="63" t="n">
        <f aca="false">PI()*POWER((O420/200),2)</f>
        <v>0.00173494454294496</v>
      </c>
      <c r="W420" s="63" t="n">
        <f aca="false">PI()*POWER((P420/200),2)</f>
        <v>0</v>
      </c>
      <c r="X420" s="63" t="n">
        <f aca="false">PI()*POWER((Q420/200),2)</f>
        <v>0</v>
      </c>
      <c r="Y420" s="63" t="n">
        <f aca="false">PI()*POWER((R420/200),2)</f>
        <v>0</v>
      </c>
      <c r="Z420" s="63" t="n">
        <f aca="false">PI()*POWER((S420/200),2)</f>
        <v>0</v>
      </c>
      <c r="AA420" s="63" t="n">
        <f aca="false">PI()*POWER((T420/200),2)</f>
        <v>0</v>
      </c>
      <c r="AB420" s="63" t="n">
        <f aca="false">PI()*POWER((U420/200),2)</f>
        <v>0</v>
      </c>
    </row>
    <row r="421" customFormat="false" ht="15" hidden="false" customHeight="false" outlineLevel="0" collapsed="false">
      <c r="A421" s="2" t="s">
        <v>20</v>
      </c>
      <c r="B421" s="2" t="n">
        <v>3</v>
      </c>
      <c r="C421" s="33" t="n">
        <v>46265</v>
      </c>
      <c r="D421" s="2" t="n">
        <v>2</v>
      </c>
      <c r="E421" s="2" t="s">
        <v>26</v>
      </c>
      <c r="F421" s="2" t="s">
        <v>27</v>
      </c>
      <c r="G421" s="2" t="s">
        <v>28</v>
      </c>
      <c r="H421" s="2" t="s">
        <v>95</v>
      </c>
      <c r="I421" s="2" t="s">
        <v>30</v>
      </c>
      <c r="J421" s="2" t="n">
        <v>97</v>
      </c>
      <c r="K421" s="2" t="s">
        <v>152</v>
      </c>
      <c r="L421" s="63" t="n">
        <f aca="false">SUM(V421:AB421)</f>
        <v>0.0021237166338267</v>
      </c>
      <c r="M421" s="63" t="n">
        <f aca="false">MAX(O421:U421)</f>
        <v>5.2</v>
      </c>
      <c r="N421" s="15" t="n">
        <f aca="false">COUNTIF(M421,"&gt;9.9")</f>
        <v>0</v>
      </c>
      <c r="O421" s="2" t="n">
        <v>5.2</v>
      </c>
      <c r="V421" s="63" t="n">
        <f aca="false">PI()*POWER((O421/200),2)</f>
        <v>0.0021237166338267</v>
      </c>
      <c r="W421" s="63" t="n">
        <f aca="false">PI()*POWER((P421/200),2)</f>
        <v>0</v>
      </c>
      <c r="X421" s="63" t="n">
        <f aca="false">PI()*POWER((Q421/200),2)</f>
        <v>0</v>
      </c>
      <c r="Y421" s="63" t="n">
        <f aca="false">PI()*POWER((R421/200),2)</f>
        <v>0</v>
      </c>
      <c r="Z421" s="63" t="n">
        <f aca="false">PI()*POWER((S421/200),2)</f>
        <v>0</v>
      </c>
      <c r="AA421" s="63" t="n">
        <f aca="false">PI()*POWER((T421/200),2)</f>
        <v>0</v>
      </c>
      <c r="AB421" s="63" t="n">
        <f aca="false">PI()*POWER((U421/200),2)</f>
        <v>0</v>
      </c>
    </row>
    <row r="422" customFormat="false" ht="15" hidden="false" customHeight="false" outlineLevel="0" collapsed="false">
      <c r="A422" s="2" t="s">
        <v>20</v>
      </c>
      <c r="B422" s="2" t="n">
        <v>3</v>
      </c>
      <c r="C422" s="33" t="n">
        <v>46265</v>
      </c>
      <c r="D422" s="2" t="n">
        <v>2</v>
      </c>
      <c r="E422" s="2" t="s">
        <v>26</v>
      </c>
      <c r="F422" s="2" t="s">
        <v>27</v>
      </c>
      <c r="G422" s="2" t="s">
        <v>28</v>
      </c>
      <c r="H422" s="2" t="s">
        <v>95</v>
      </c>
      <c r="I422" s="2" t="s">
        <v>30</v>
      </c>
      <c r="J422" s="2" t="n">
        <v>46</v>
      </c>
      <c r="K422" s="2" t="s">
        <v>152</v>
      </c>
      <c r="L422" s="63" t="n">
        <f aca="false">SUM(V422:AB422)</f>
        <v>0.00220618344098343</v>
      </c>
      <c r="M422" s="63" t="n">
        <f aca="false">MAX(O422:U422)</f>
        <v>5.3</v>
      </c>
      <c r="N422" s="15" t="n">
        <f aca="false">COUNTIF(M422,"&gt;9.9")</f>
        <v>0</v>
      </c>
      <c r="O422" s="2" t="n">
        <v>5.3</v>
      </c>
      <c r="V422" s="63" t="n">
        <f aca="false">PI()*POWER((O422/200),2)</f>
        <v>0.00220618344098343</v>
      </c>
      <c r="W422" s="63" t="n">
        <f aca="false">PI()*POWER((P422/200),2)</f>
        <v>0</v>
      </c>
      <c r="X422" s="63" t="n">
        <f aca="false">PI()*POWER((Q422/200),2)</f>
        <v>0</v>
      </c>
      <c r="Y422" s="63" t="n">
        <f aca="false">PI()*POWER((R422/200),2)</f>
        <v>0</v>
      </c>
      <c r="Z422" s="63" t="n">
        <f aca="false">PI()*POWER((S422/200),2)</f>
        <v>0</v>
      </c>
      <c r="AA422" s="63" t="n">
        <f aca="false">PI()*POWER((T422/200),2)</f>
        <v>0</v>
      </c>
      <c r="AB422" s="63" t="n">
        <f aca="false">PI()*POWER((U422/200),2)</f>
        <v>0</v>
      </c>
    </row>
    <row r="423" customFormat="false" ht="15" hidden="false" customHeight="false" outlineLevel="0" collapsed="false">
      <c r="A423" s="2" t="s">
        <v>20</v>
      </c>
      <c r="B423" s="2" t="n">
        <v>3</v>
      </c>
      <c r="C423" s="33" t="n">
        <v>46265</v>
      </c>
      <c r="D423" s="2" t="n">
        <v>2</v>
      </c>
      <c r="E423" s="2" t="s">
        <v>26</v>
      </c>
      <c r="F423" s="2" t="s">
        <v>27</v>
      </c>
      <c r="G423" s="2" t="s">
        <v>28</v>
      </c>
      <c r="H423" s="2" t="s">
        <v>95</v>
      </c>
      <c r="I423" s="2" t="s">
        <v>30</v>
      </c>
      <c r="J423" s="2" t="n">
        <v>72</v>
      </c>
      <c r="K423" s="2" t="s">
        <v>152</v>
      </c>
      <c r="L423" s="63" t="n">
        <f aca="false">SUM(V423:AB423)</f>
        <v>0.00229022104446696</v>
      </c>
      <c r="M423" s="63" t="n">
        <f aca="false">MAX(O423:U423)</f>
        <v>5.4</v>
      </c>
      <c r="N423" s="15" t="n">
        <f aca="false">COUNTIF(M423,"&gt;9.9")</f>
        <v>0</v>
      </c>
      <c r="O423" s="2" t="n">
        <v>5.4</v>
      </c>
      <c r="V423" s="63" t="n">
        <f aca="false">PI()*POWER((O423/200),2)</f>
        <v>0.00229022104446696</v>
      </c>
      <c r="W423" s="63" t="n">
        <f aca="false">PI()*POWER((P423/200),2)</f>
        <v>0</v>
      </c>
      <c r="X423" s="63" t="n">
        <f aca="false">PI()*POWER((Q423/200),2)</f>
        <v>0</v>
      </c>
      <c r="Y423" s="63" t="n">
        <f aca="false">PI()*POWER((R423/200),2)</f>
        <v>0</v>
      </c>
      <c r="Z423" s="63" t="n">
        <f aca="false">PI()*POWER((S423/200),2)</f>
        <v>0</v>
      </c>
      <c r="AA423" s="63" t="n">
        <f aca="false">PI()*POWER((T423/200),2)</f>
        <v>0</v>
      </c>
      <c r="AB423" s="63" t="n">
        <f aca="false">PI()*POWER((U423/200),2)</f>
        <v>0</v>
      </c>
    </row>
    <row r="424" customFormat="false" ht="15" hidden="false" customHeight="false" outlineLevel="0" collapsed="false">
      <c r="A424" s="2" t="s">
        <v>20</v>
      </c>
      <c r="B424" s="2" t="n">
        <v>3</v>
      </c>
      <c r="C424" s="33" t="n">
        <v>46265</v>
      </c>
      <c r="D424" s="2" t="n">
        <v>2</v>
      </c>
      <c r="E424" s="2" t="s">
        <v>26</v>
      </c>
      <c r="F424" s="2" t="s">
        <v>27</v>
      </c>
      <c r="G424" s="2" t="s">
        <v>28</v>
      </c>
      <c r="H424" s="2" t="s">
        <v>95</v>
      </c>
      <c r="I424" s="2" t="s">
        <v>30</v>
      </c>
      <c r="J424" s="2" t="n">
        <v>143</v>
      </c>
      <c r="K424" s="2" t="s">
        <v>152</v>
      </c>
      <c r="L424" s="63" t="n">
        <f aca="false">SUM(V424:AB424)</f>
        <v>0.00264207942166902</v>
      </c>
      <c r="M424" s="63" t="n">
        <f aca="false">MAX(O424:U424)</f>
        <v>5.8</v>
      </c>
      <c r="N424" s="15" t="n">
        <f aca="false">COUNTIF(M424,"&gt;9.9")</f>
        <v>0</v>
      </c>
      <c r="O424" s="2" t="n">
        <v>5.8</v>
      </c>
      <c r="V424" s="63" t="n">
        <f aca="false">PI()*POWER((O424/200),2)</f>
        <v>0.00264207942166902</v>
      </c>
      <c r="W424" s="63" t="n">
        <f aca="false">PI()*POWER((P424/200),2)</f>
        <v>0</v>
      </c>
      <c r="X424" s="63" t="n">
        <f aca="false">PI()*POWER((Q424/200),2)</f>
        <v>0</v>
      </c>
      <c r="Y424" s="63" t="n">
        <f aca="false">PI()*POWER((R424/200),2)</f>
        <v>0</v>
      </c>
      <c r="Z424" s="63" t="n">
        <f aca="false">PI()*POWER((S424/200),2)</f>
        <v>0</v>
      </c>
      <c r="AA424" s="63" t="n">
        <f aca="false">PI()*POWER((T424/200),2)</f>
        <v>0</v>
      </c>
      <c r="AB424" s="63" t="n">
        <f aca="false">PI()*POWER((U424/200),2)</f>
        <v>0</v>
      </c>
    </row>
    <row r="425" customFormat="false" ht="15" hidden="false" customHeight="false" outlineLevel="0" collapsed="false">
      <c r="A425" s="2" t="s">
        <v>20</v>
      </c>
      <c r="B425" s="2" t="n">
        <v>3</v>
      </c>
      <c r="C425" s="33" t="n">
        <v>46265</v>
      </c>
      <c r="D425" s="2" t="n">
        <v>2</v>
      </c>
      <c r="E425" s="2" t="s">
        <v>26</v>
      </c>
      <c r="F425" s="2" t="s">
        <v>27</v>
      </c>
      <c r="G425" s="2" t="s">
        <v>28</v>
      </c>
      <c r="H425" s="2" t="s">
        <v>95</v>
      </c>
      <c r="I425" s="2" t="s">
        <v>30</v>
      </c>
      <c r="J425" s="2" t="n">
        <v>123</v>
      </c>
      <c r="K425" s="2" t="s">
        <v>152</v>
      </c>
      <c r="L425" s="63" t="n">
        <f aca="false">SUM(V425:AB425)</f>
        <v>0.00282743338823081</v>
      </c>
      <c r="M425" s="63" t="n">
        <f aca="false">MAX(O425:U425)</f>
        <v>6</v>
      </c>
      <c r="N425" s="15" t="n">
        <f aca="false">COUNTIF(M425,"&gt;9.9")</f>
        <v>0</v>
      </c>
      <c r="O425" s="2" t="n">
        <v>6</v>
      </c>
      <c r="V425" s="63" t="n">
        <f aca="false">PI()*POWER((O425/200),2)</f>
        <v>0.00282743338823081</v>
      </c>
      <c r="W425" s="63" t="n">
        <f aca="false">PI()*POWER((P425/200),2)</f>
        <v>0</v>
      </c>
      <c r="X425" s="63" t="n">
        <f aca="false">PI()*POWER((Q425/200),2)</f>
        <v>0</v>
      </c>
      <c r="Y425" s="63" t="n">
        <f aca="false">PI()*POWER((R425/200),2)</f>
        <v>0</v>
      </c>
      <c r="Z425" s="63" t="n">
        <f aca="false">PI()*POWER((S425/200),2)</f>
        <v>0</v>
      </c>
      <c r="AA425" s="63" t="n">
        <f aca="false">PI()*POWER((T425/200),2)</f>
        <v>0</v>
      </c>
      <c r="AB425" s="63" t="n">
        <f aca="false">PI()*POWER((U425/200),2)</f>
        <v>0</v>
      </c>
    </row>
    <row r="426" customFormat="false" ht="15" hidden="false" customHeight="false" outlineLevel="0" collapsed="false">
      <c r="A426" s="2" t="s">
        <v>20</v>
      </c>
      <c r="B426" s="2" t="n">
        <v>3</v>
      </c>
      <c r="C426" s="33" t="n">
        <v>46265</v>
      </c>
      <c r="D426" s="2" t="n">
        <v>2</v>
      </c>
      <c r="E426" s="2" t="s">
        <v>26</v>
      </c>
      <c r="F426" s="2" t="s">
        <v>27</v>
      </c>
      <c r="G426" s="2" t="s">
        <v>28</v>
      </c>
      <c r="H426" s="2" t="s">
        <v>95</v>
      </c>
      <c r="I426" s="2" t="s">
        <v>30</v>
      </c>
      <c r="J426" s="2" t="n">
        <v>142</v>
      </c>
      <c r="K426" s="2" t="s">
        <v>152</v>
      </c>
      <c r="L426" s="63" t="n">
        <f aca="false">SUM(V426:AB426)</f>
        <v>0.00331830724035422</v>
      </c>
      <c r="M426" s="63" t="n">
        <f aca="false">MAX(O426:U426)</f>
        <v>6.5</v>
      </c>
      <c r="N426" s="15" t="n">
        <f aca="false">COUNTIF(M426,"&gt;9.9")</f>
        <v>0</v>
      </c>
      <c r="O426" s="2" t="n">
        <v>6.5</v>
      </c>
      <c r="V426" s="63" t="n">
        <f aca="false">PI()*POWER((O426/200),2)</f>
        <v>0.00331830724035422</v>
      </c>
      <c r="W426" s="63" t="n">
        <f aca="false">PI()*POWER((P426/200),2)</f>
        <v>0</v>
      </c>
      <c r="X426" s="63" t="n">
        <f aca="false">PI()*POWER((Q426/200),2)</f>
        <v>0</v>
      </c>
      <c r="Y426" s="63" t="n">
        <f aca="false">PI()*POWER((R426/200),2)</f>
        <v>0</v>
      </c>
      <c r="Z426" s="63" t="n">
        <f aca="false">PI()*POWER((S426/200),2)</f>
        <v>0</v>
      </c>
      <c r="AA426" s="63" t="n">
        <f aca="false">PI()*POWER((T426/200),2)</f>
        <v>0</v>
      </c>
      <c r="AB426" s="63" t="n">
        <f aca="false">PI()*POWER((U426/200),2)</f>
        <v>0</v>
      </c>
    </row>
    <row r="427" customFormat="false" ht="15" hidden="false" customHeight="false" outlineLevel="0" collapsed="false">
      <c r="A427" s="2" t="s">
        <v>20</v>
      </c>
      <c r="B427" s="2" t="n">
        <v>3</v>
      </c>
      <c r="C427" s="33" t="n">
        <v>46265</v>
      </c>
      <c r="D427" s="2" t="n">
        <v>2</v>
      </c>
      <c r="E427" s="2" t="s">
        <v>26</v>
      </c>
      <c r="F427" s="2" t="s">
        <v>27</v>
      </c>
      <c r="G427" s="2" t="s">
        <v>28</v>
      </c>
      <c r="H427" s="2" t="s">
        <v>95</v>
      </c>
      <c r="I427" s="2" t="s">
        <v>30</v>
      </c>
      <c r="J427" s="2" t="n">
        <v>133</v>
      </c>
      <c r="K427" s="2" t="s">
        <v>152</v>
      </c>
      <c r="L427" s="63" t="n">
        <f aca="false">SUM(V427:AB427)</f>
        <v>0.0038484510006475</v>
      </c>
      <c r="M427" s="63" t="n">
        <f aca="false">MAX(O427:U427)</f>
        <v>7</v>
      </c>
      <c r="N427" s="15" t="n">
        <f aca="false">COUNTIF(M427,"&gt;9.9")</f>
        <v>0</v>
      </c>
      <c r="O427" s="2" t="n">
        <v>7</v>
      </c>
      <c r="V427" s="63" t="n">
        <f aca="false">PI()*POWER((O427/200),2)</f>
        <v>0.0038484510006475</v>
      </c>
      <c r="W427" s="63" t="n">
        <f aca="false">PI()*POWER((P427/200),2)</f>
        <v>0</v>
      </c>
      <c r="X427" s="63" t="n">
        <f aca="false">PI()*POWER((Q427/200),2)</f>
        <v>0</v>
      </c>
      <c r="Y427" s="63" t="n">
        <f aca="false">PI()*POWER((R427/200),2)</f>
        <v>0</v>
      </c>
      <c r="Z427" s="63" t="n">
        <f aca="false">PI()*POWER((S427/200),2)</f>
        <v>0</v>
      </c>
      <c r="AA427" s="63" t="n">
        <f aca="false">PI()*POWER((T427/200),2)</f>
        <v>0</v>
      </c>
      <c r="AB427" s="63" t="n">
        <f aca="false">PI()*POWER((U427/200),2)</f>
        <v>0</v>
      </c>
    </row>
    <row r="428" customFormat="false" ht="15" hidden="false" customHeight="false" outlineLevel="0" collapsed="false">
      <c r="A428" s="2" t="s">
        <v>20</v>
      </c>
      <c r="B428" s="2" t="n">
        <v>3</v>
      </c>
      <c r="C428" s="33" t="n">
        <v>46265</v>
      </c>
      <c r="D428" s="2" t="n">
        <v>2</v>
      </c>
      <c r="E428" s="2" t="s">
        <v>26</v>
      </c>
      <c r="F428" s="2" t="s">
        <v>27</v>
      </c>
      <c r="G428" s="2" t="s">
        <v>28</v>
      </c>
      <c r="H428" s="2" t="s">
        <v>95</v>
      </c>
      <c r="I428" s="2" t="s">
        <v>30</v>
      </c>
      <c r="J428" s="2" t="n">
        <v>35</v>
      </c>
      <c r="K428" s="2" t="s">
        <v>152</v>
      </c>
      <c r="L428" s="63" t="n">
        <f aca="false">SUM(V428:AB428)</f>
        <v>0.00441786466911065</v>
      </c>
      <c r="M428" s="63" t="n">
        <f aca="false">MAX(O428:U428)</f>
        <v>7.5</v>
      </c>
      <c r="N428" s="15" t="n">
        <f aca="false">COUNTIF(M428,"&gt;9.9")</f>
        <v>0</v>
      </c>
      <c r="O428" s="2" t="n">
        <v>7.5</v>
      </c>
      <c r="V428" s="63" t="n">
        <f aca="false">PI()*POWER((O428/200),2)</f>
        <v>0.00441786466911065</v>
      </c>
      <c r="W428" s="63" t="n">
        <f aca="false">PI()*POWER((P428/200),2)</f>
        <v>0</v>
      </c>
      <c r="X428" s="63" t="n">
        <f aca="false">PI()*POWER((Q428/200),2)</f>
        <v>0</v>
      </c>
      <c r="Y428" s="63" t="n">
        <f aca="false">PI()*POWER((R428/200),2)</f>
        <v>0</v>
      </c>
      <c r="Z428" s="63" t="n">
        <f aca="false">PI()*POWER((S428/200),2)</f>
        <v>0</v>
      </c>
      <c r="AA428" s="63" t="n">
        <f aca="false">PI()*POWER((T428/200),2)</f>
        <v>0</v>
      </c>
      <c r="AB428" s="63" t="n">
        <f aca="false">PI()*POWER((U428/200),2)</f>
        <v>0</v>
      </c>
    </row>
    <row r="429" customFormat="false" ht="15" hidden="false" customHeight="false" outlineLevel="0" collapsed="false">
      <c r="A429" s="2" t="s">
        <v>20</v>
      </c>
      <c r="B429" s="2" t="n">
        <v>3</v>
      </c>
      <c r="C429" s="33" t="n">
        <v>46265</v>
      </c>
      <c r="D429" s="2" t="n">
        <v>2</v>
      </c>
      <c r="E429" s="2" t="s">
        <v>26</v>
      </c>
      <c r="F429" s="2" t="s">
        <v>27</v>
      </c>
      <c r="G429" s="2" t="s">
        <v>28</v>
      </c>
      <c r="H429" s="2" t="s">
        <v>95</v>
      </c>
      <c r="I429" s="2" t="s">
        <v>30</v>
      </c>
      <c r="J429" s="2" t="n">
        <v>28</v>
      </c>
      <c r="K429" s="2" t="s">
        <v>152</v>
      </c>
      <c r="L429" s="63" t="n">
        <f aca="false">SUM(V429:AB429)</f>
        <v>0.00872420279901886</v>
      </c>
      <c r="M429" s="63" t="n">
        <f aca="false">MAX(O429:U429)</f>
        <v>8.8</v>
      </c>
      <c r="N429" s="15" t="n">
        <f aca="false">COUNTIF(M429,"&gt;9.9")</f>
        <v>0</v>
      </c>
      <c r="O429" s="2" t="n">
        <v>5.8</v>
      </c>
      <c r="P429" s="2" t="n">
        <v>8.8</v>
      </c>
      <c r="V429" s="63" t="n">
        <f aca="false">PI()*POWER((O429/200),2)</f>
        <v>0.00264207942166902</v>
      </c>
      <c r="W429" s="63" t="n">
        <f aca="false">PI()*POWER((P429/200),2)</f>
        <v>0.00608212337734984</v>
      </c>
      <c r="X429" s="63" t="n">
        <f aca="false">PI()*POWER((Q429/200),2)</f>
        <v>0</v>
      </c>
      <c r="Y429" s="63" t="n">
        <f aca="false">PI()*POWER((R429/200),2)</f>
        <v>0</v>
      </c>
      <c r="Z429" s="63" t="n">
        <f aca="false">PI()*POWER((S429/200),2)</f>
        <v>0</v>
      </c>
      <c r="AA429" s="63" t="n">
        <f aca="false">PI()*POWER((T429/200),2)</f>
        <v>0</v>
      </c>
      <c r="AB429" s="63" t="n">
        <f aca="false">PI()*POWER((U429/200),2)</f>
        <v>0</v>
      </c>
    </row>
    <row r="430" customFormat="false" ht="15" hidden="false" customHeight="false" outlineLevel="0" collapsed="false">
      <c r="A430" s="2" t="s">
        <v>20</v>
      </c>
      <c r="B430" s="2" t="n">
        <v>3</v>
      </c>
      <c r="C430" s="33" t="n">
        <v>46265</v>
      </c>
      <c r="D430" s="2" t="n">
        <v>2</v>
      </c>
      <c r="E430" s="2" t="s">
        <v>26</v>
      </c>
      <c r="F430" s="2" t="s">
        <v>27</v>
      </c>
      <c r="G430" s="2" t="s">
        <v>28</v>
      </c>
      <c r="H430" s="2" t="s">
        <v>95</v>
      </c>
      <c r="I430" s="2" t="s">
        <v>30</v>
      </c>
      <c r="J430" s="2" t="n">
        <v>63</v>
      </c>
      <c r="K430" s="2" t="s">
        <v>152</v>
      </c>
      <c r="L430" s="63" t="n">
        <f aca="false">SUM(V430:AB430)</f>
        <v>0.00636172512351933</v>
      </c>
      <c r="M430" s="63" t="n">
        <f aca="false">MAX(O430:U430)</f>
        <v>9</v>
      </c>
      <c r="N430" s="15" t="n">
        <f aca="false">COUNTIF(M430,"&gt;9.9")</f>
        <v>0</v>
      </c>
      <c r="O430" s="2" t="n">
        <v>9</v>
      </c>
      <c r="V430" s="63" t="n">
        <f aca="false">PI()*POWER((O430/200),2)</f>
        <v>0.00636172512351933</v>
      </c>
      <c r="W430" s="63" t="n">
        <f aca="false">PI()*POWER((P430/200),2)</f>
        <v>0</v>
      </c>
      <c r="X430" s="63" t="n">
        <f aca="false">PI()*POWER((Q430/200),2)</f>
        <v>0</v>
      </c>
      <c r="Y430" s="63" t="n">
        <f aca="false">PI()*POWER((R430/200),2)</f>
        <v>0</v>
      </c>
      <c r="Z430" s="63" t="n">
        <f aca="false">PI()*POWER((S430/200),2)</f>
        <v>0</v>
      </c>
      <c r="AA430" s="63" t="n">
        <f aca="false">PI()*POWER((T430/200),2)</f>
        <v>0</v>
      </c>
      <c r="AB430" s="63" t="n">
        <f aca="false">PI()*POWER((U430/200),2)</f>
        <v>0</v>
      </c>
    </row>
    <row r="431" customFormat="false" ht="15" hidden="false" customHeight="false" outlineLevel="0" collapsed="false">
      <c r="A431" s="2" t="s">
        <v>20</v>
      </c>
      <c r="B431" s="2" t="n">
        <v>3</v>
      </c>
      <c r="C431" s="33" t="n">
        <v>46265</v>
      </c>
      <c r="D431" s="2" t="n">
        <v>2</v>
      </c>
      <c r="E431" s="2" t="s">
        <v>26</v>
      </c>
      <c r="F431" s="2" t="s">
        <v>27</v>
      </c>
      <c r="G431" s="2" t="s">
        <v>28</v>
      </c>
      <c r="H431" s="2" t="s">
        <v>95</v>
      </c>
      <c r="I431" s="2" t="s">
        <v>30</v>
      </c>
      <c r="J431" s="2" t="n">
        <v>134</v>
      </c>
      <c r="K431" s="2" t="s">
        <v>152</v>
      </c>
      <c r="L431" s="63" t="n">
        <f aca="false">SUM(V431:AB431)</f>
        <v>0.00636172512351933</v>
      </c>
      <c r="M431" s="63" t="n">
        <f aca="false">MAX(O431:U431)</f>
        <v>9</v>
      </c>
      <c r="N431" s="15" t="n">
        <f aca="false">COUNTIF(M431,"&gt;9.9")</f>
        <v>0</v>
      </c>
      <c r="O431" s="2" t="n">
        <v>9</v>
      </c>
      <c r="V431" s="63" t="n">
        <f aca="false">PI()*POWER((O431/200),2)</f>
        <v>0.00636172512351933</v>
      </c>
      <c r="W431" s="63" t="n">
        <f aca="false">PI()*POWER((P431/200),2)</f>
        <v>0</v>
      </c>
      <c r="X431" s="63" t="n">
        <f aca="false">PI()*POWER((Q431/200),2)</f>
        <v>0</v>
      </c>
      <c r="Y431" s="63" t="n">
        <f aca="false">PI()*POWER((R431/200),2)</f>
        <v>0</v>
      </c>
      <c r="Z431" s="63" t="n">
        <f aca="false">PI()*POWER((S431/200),2)</f>
        <v>0</v>
      </c>
      <c r="AA431" s="63" t="n">
        <f aca="false">PI()*POWER((T431/200),2)</f>
        <v>0</v>
      </c>
      <c r="AB431" s="63" t="n">
        <f aca="false">PI()*POWER((U431/200),2)</f>
        <v>0</v>
      </c>
    </row>
    <row r="432" customFormat="false" ht="15" hidden="false" customHeight="false" outlineLevel="0" collapsed="false">
      <c r="A432" s="2" t="s">
        <v>20</v>
      </c>
      <c r="B432" s="2" t="n">
        <v>3</v>
      </c>
      <c r="C432" s="33" t="n">
        <v>46265</v>
      </c>
      <c r="D432" s="2" t="n">
        <v>2</v>
      </c>
      <c r="E432" s="2" t="s">
        <v>26</v>
      </c>
      <c r="F432" s="2" t="s">
        <v>27</v>
      </c>
      <c r="G432" s="2" t="s">
        <v>28</v>
      </c>
      <c r="H432" s="2" t="s">
        <v>95</v>
      </c>
      <c r="I432" s="2" t="s">
        <v>30</v>
      </c>
      <c r="J432" s="2" t="n">
        <v>137</v>
      </c>
      <c r="K432" s="2" t="s">
        <v>152</v>
      </c>
      <c r="L432" s="63" t="n">
        <f aca="false">SUM(V432:AB432)</f>
        <v>0.00693977817177985</v>
      </c>
      <c r="M432" s="63" t="n">
        <f aca="false">MAX(O432:U432)</f>
        <v>9.4</v>
      </c>
      <c r="N432" s="15" t="n">
        <f aca="false">COUNTIF(M432,"&gt;9.9")</f>
        <v>0</v>
      </c>
      <c r="O432" s="2" t="n">
        <v>9.4</v>
      </c>
      <c r="V432" s="63" t="n">
        <f aca="false">PI()*POWER((O432/200),2)</f>
        <v>0.00693977817177985</v>
      </c>
      <c r="W432" s="63" t="n">
        <f aca="false">PI()*POWER((P432/200),2)</f>
        <v>0</v>
      </c>
      <c r="X432" s="63" t="n">
        <f aca="false">PI()*POWER((Q432/200),2)</f>
        <v>0</v>
      </c>
      <c r="Y432" s="63" t="n">
        <f aca="false">PI()*POWER((R432/200),2)</f>
        <v>0</v>
      </c>
      <c r="Z432" s="63" t="n">
        <f aca="false">PI()*POWER((S432/200),2)</f>
        <v>0</v>
      </c>
      <c r="AA432" s="63" t="n">
        <f aca="false">PI()*POWER((T432/200),2)</f>
        <v>0</v>
      </c>
      <c r="AB432" s="63" t="n">
        <f aca="false">PI()*POWER((U432/200),2)</f>
        <v>0</v>
      </c>
    </row>
    <row r="433" customFormat="false" ht="15" hidden="false" customHeight="false" outlineLevel="0" collapsed="false">
      <c r="A433" s="2" t="s">
        <v>20</v>
      </c>
      <c r="B433" s="2" t="n">
        <v>3</v>
      </c>
      <c r="C433" s="33" t="n">
        <v>46265</v>
      </c>
      <c r="D433" s="2" t="n">
        <v>2</v>
      </c>
      <c r="E433" s="2" t="s">
        <v>26</v>
      </c>
      <c r="F433" s="2" t="s">
        <v>27</v>
      </c>
      <c r="G433" s="2" t="s">
        <v>28</v>
      </c>
      <c r="H433" s="2" t="s">
        <v>95</v>
      </c>
      <c r="I433" s="2" t="s">
        <v>30</v>
      </c>
      <c r="J433" s="2" t="n">
        <v>20</v>
      </c>
      <c r="K433" s="2" t="s">
        <v>152</v>
      </c>
      <c r="L433" s="63" t="n">
        <f aca="false">SUM(V433:AB433)</f>
        <v>0.00785398163397448</v>
      </c>
      <c r="M433" s="63" t="n">
        <f aca="false">MAX(O433:U433)</f>
        <v>10</v>
      </c>
      <c r="N433" s="15" t="n">
        <f aca="false">COUNTIF(M433,"&gt;9.9")</f>
        <v>1</v>
      </c>
      <c r="O433" s="2" t="n">
        <v>10</v>
      </c>
      <c r="V433" s="63" t="n">
        <f aca="false">PI()*POWER((O433/200),2)</f>
        <v>0.00785398163397448</v>
      </c>
      <c r="W433" s="63" t="n">
        <f aca="false">PI()*POWER((P433/200),2)</f>
        <v>0</v>
      </c>
      <c r="X433" s="63" t="n">
        <f aca="false">PI()*POWER((Q433/200),2)</f>
        <v>0</v>
      </c>
      <c r="Y433" s="63" t="n">
        <f aca="false">PI()*POWER((R433/200),2)</f>
        <v>0</v>
      </c>
      <c r="Z433" s="63" t="n">
        <f aca="false">PI()*POWER((S433/200),2)</f>
        <v>0</v>
      </c>
      <c r="AA433" s="63" t="n">
        <f aca="false">PI()*POWER((T433/200),2)</f>
        <v>0</v>
      </c>
      <c r="AB433" s="63" t="n">
        <f aca="false">PI()*POWER((U433/200),2)</f>
        <v>0</v>
      </c>
    </row>
    <row r="434" customFormat="false" ht="15" hidden="false" customHeight="false" outlineLevel="0" collapsed="false">
      <c r="A434" s="2" t="s">
        <v>20</v>
      </c>
      <c r="B434" s="2" t="n">
        <v>3</v>
      </c>
      <c r="C434" s="33" t="n">
        <v>46265</v>
      </c>
      <c r="D434" s="2" t="n">
        <v>2</v>
      </c>
      <c r="E434" s="2" t="s">
        <v>26</v>
      </c>
      <c r="F434" s="2" t="s">
        <v>27</v>
      </c>
      <c r="G434" s="2" t="s">
        <v>28</v>
      </c>
      <c r="H434" s="2" t="s">
        <v>95</v>
      </c>
      <c r="I434" s="2" t="s">
        <v>30</v>
      </c>
      <c r="J434" s="2" t="n">
        <v>55</v>
      </c>
      <c r="K434" s="2" t="s">
        <v>152</v>
      </c>
      <c r="L434" s="63" t="n">
        <f aca="false">SUM(V434:AB434)</f>
        <v>0.00801184666481737</v>
      </c>
      <c r="M434" s="63" t="n">
        <f aca="false">MAX(O434:U434)</f>
        <v>10.1</v>
      </c>
      <c r="N434" s="15" t="n">
        <f aca="false">COUNTIF(M434,"&gt;9.9")</f>
        <v>1</v>
      </c>
      <c r="O434" s="2" t="n">
        <v>10.1</v>
      </c>
      <c r="V434" s="63" t="n">
        <f aca="false">PI()*POWER((O434/200),2)</f>
        <v>0.00801184666481737</v>
      </c>
      <c r="W434" s="63" t="n">
        <f aca="false">PI()*POWER((P434/200),2)</f>
        <v>0</v>
      </c>
      <c r="X434" s="63" t="n">
        <f aca="false">PI()*POWER((Q434/200),2)</f>
        <v>0</v>
      </c>
      <c r="Y434" s="63" t="n">
        <f aca="false">PI()*POWER((R434/200),2)</f>
        <v>0</v>
      </c>
      <c r="Z434" s="63" t="n">
        <f aca="false">PI()*POWER((S434/200),2)</f>
        <v>0</v>
      </c>
      <c r="AA434" s="63" t="n">
        <f aca="false">PI()*POWER((T434/200),2)</f>
        <v>0</v>
      </c>
      <c r="AB434" s="63" t="n">
        <f aca="false">PI()*POWER((U434/200),2)</f>
        <v>0</v>
      </c>
    </row>
    <row r="435" customFormat="false" ht="15" hidden="false" customHeight="false" outlineLevel="0" collapsed="false">
      <c r="A435" s="2" t="s">
        <v>20</v>
      </c>
      <c r="B435" s="2" t="n">
        <v>3</v>
      </c>
      <c r="C435" s="33" t="n">
        <v>46265</v>
      </c>
      <c r="D435" s="2" t="n">
        <v>2</v>
      </c>
      <c r="E435" s="2" t="s">
        <v>26</v>
      </c>
      <c r="F435" s="2" t="s">
        <v>27</v>
      </c>
      <c r="G435" s="2" t="s">
        <v>28</v>
      </c>
      <c r="H435" s="2" t="s">
        <v>95</v>
      </c>
      <c r="I435" s="2" t="s">
        <v>30</v>
      </c>
      <c r="J435" s="2" t="n">
        <v>70</v>
      </c>
      <c r="K435" s="2" t="s">
        <v>152</v>
      </c>
      <c r="L435" s="63" t="n">
        <f aca="false">SUM(V435:AB435)</f>
        <v>0.00916088417786784</v>
      </c>
      <c r="M435" s="63" t="n">
        <f aca="false">MAX(O435:U435)</f>
        <v>10.8</v>
      </c>
      <c r="N435" s="15" t="n">
        <f aca="false">COUNTIF(M435,"&gt;9.9")</f>
        <v>1</v>
      </c>
      <c r="O435" s="2" t="n">
        <v>10.8</v>
      </c>
      <c r="V435" s="63" t="n">
        <f aca="false">PI()*POWER((O435/200),2)</f>
        <v>0.00916088417786784</v>
      </c>
      <c r="W435" s="63" t="n">
        <f aca="false">PI()*POWER((P435/200),2)</f>
        <v>0</v>
      </c>
      <c r="X435" s="63" t="n">
        <f aca="false">PI()*POWER((Q435/200),2)</f>
        <v>0</v>
      </c>
      <c r="Y435" s="63" t="n">
        <f aca="false">PI()*POWER((R435/200),2)</f>
        <v>0</v>
      </c>
      <c r="Z435" s="63" t="n">
        <f aca="false">PI()*POWER((S435/200),2)</f>
        <v>0</v>
      </c>
      <c r="AA435" s="63" t="n">
        <f aca="false">PI()*POWER((T435/200),2)</f>
        <v>0</v>
      </c>
      <c r="AB435" s="63" t="n">
        <f aca="false">PI()*POWER((U435/200),2)</f>
        <v>0</v>
      </c>
    </row>
    <row r="436" customFormat="false" ht="15" hidden="false" customHeight="false" outlineLevel="0" collapsed="false">
      <c r="A436" s="2" t="s">
        <v>20</v>
      </c>
      <c r="B436" s="2" t="n">
        <v>3</v>
      </c>
      <c r="C436" s="33" t="n">
        <v>46265</v>
      </c>
      <c r="D436" s="2" t="n">
        <v>2</v>
      </c>
      <c r="E436" s="2" t="s">
        <v>26</v>
      </c>
      <c r="F436" s="2" t="s">
        <v>27</v>
      </c>
      <c r="G436" s="2" t="s">
        <v>28</v>
      </c>
      <c r="H436" s="2" t="s">
        <v>95</v>
      </c>
      <c r="I436" s="2" t="s">
        <v>30</v>
      </c>
      <c r="J436" s="2" t="n">
        <v>62</v>
      </c>
      <c r="K436" s="2" t="s">
        <v>152</v>
      </c>
      <c r="L436" s="63" t="n">
        <f aca="false">SUM(V436:AB436)</f>
        <v>0.0102070345315132</v>
      </c>
      <c r="M436" s="63" t="n">
        <f aca="false">MAX(O436:U436)</f>
        <v>11.4</v>
      </c>
      <c r="N436" s="15" t="n">
        <f aca="false">COUNTIF(M436,"&gt;9.9")</f>
        <v>1</v>
      </c>
      <c r="O436" s="2" t="n">
        <v>11.4</v>
      </c>
      <c r="V436" s="63" t="n">
        <f aca="false">PI()*POWER((O436/200),2)</f>
        <v>0.0102070345315132</v>
      </c>
      <c r="W436" s="63" t="n">
        <f aca="false">PI()*POWER((P436/200),2)</f>
        <v>0</v>
      </c>
      <c r="X436" s="63" t="n">
        <f aca="false">PI()*POWER((Q436/200),2)</f>
        <v>0</v>
      </c>
      <c r="Y436" s="63" t="n">
        <f aca="false">PI()*POWER((R436/200),2)</f>
        <v>0</v>
      </c>
      <c r="Z436" s="63" t="n">
        <f aca="false">PI()*POWER((S436/200),2)</f>
        <v>0</v>
      </c>
      <c r="AA436" s="63" t="n">
        <f aca="false">PI()*POWER((T436/200),2)</f>
        <v>0</v>
      </c>
      <c r="AB436" s="63" t="n">
        <f aca="false">PI()*POWER((U436/200),2)</f>
        <v>0</v>
      </c>
    </row>
    <row r="437" customFormat="false" ht="15" hidden="false" customHeight="false" outlineLevel="0" collapsed="false">
      <c r="A437" s="2" t="s">
        <v>20</v>
      </c>
      <c r="B437" s="2" t="n">
        <v>3</v>
      </c>
      <c r="C437" s="33" t="n">
        <v>46265</v>
      </c>
      <c r="D437" s="2" t="n">
        <v>2</v>
      </c>
      <c r="E437" s="2" t="s">
        <v>26</v>
      </c>
      <c r="F437" s="2" t="s">
        <v>27</v>
      </c>
      <c r="G437" s="2" t="s">
        <v>28</v>
      </c>
      <c r="H437" s="2" t="s">
        <v>95</v>
      </c>
      <c r="I437" s="2" t="s">
        <v>30</v>
      </c>
      <c r="J437" s="2" t="n">
        <v>84</v>
      </c>
      <c r="K437" s="2" t="s">
        <v>152</v>
      </c>
      <c r="L437" s="63" t="n">
        <f aca="false">SUM(V437:AB437)</f>
        <v>0.0113097335529233</v>
      </c>
      <c r="M437" s="63" t="n">
        <f aca="false">MAX(O437:U437)</f>
        <v>12</v>
      </c>
      <c r="N437" s="15" t="n">
        <f aca="false">COUNTIF(M437,"&gt;9.9")</f>
        <v>1</v>
      </c>
      <c r="O437" s="2" t="n">
        <v>12</v>
      </c>
      <c r="V437" s="63" t="n">
        <f aca="false">PI()*POWER((O437/200),2)</f>
        <v>0.0113097335529233</v>
      </c>
      <c r="W437" s="63" t="n">
        <f aca="false">PI()*POWER((P437/200),2)</f>
        <v>0</v>
      </c>
      <c r="X437" s="63" t="n">
        <f aca="false">PI()*POWER((Q437/200),2)</f>
        <v>0</v>
      </c>
      <c r="Y437" s="63" t="n">
        <f aca="false">PI()*POWER((R437/200),2)</f>
        <v>0</v>
      </c>
      <c r="Z437" s="63" t="n">
        <f aca="false">PI()*POWER((S437/200),2)</f>
        <v>0</v>
      </c>
      <c r="AA437" s="63" t="n">
        <f aca="false">PI()*POWER((T437/200),2)</f>
        <v>0</v>
      </c>
      <c r="AB437" s="63" t="n">
        <f aca="false">PI()*POWER((U437/200),2)</f>
        <v>0</v>
      </c>
    </row>
    <row r="438" customFormat="false" ht="15" hidden="false" customHeight="false" outlineLevel="0" collapsed="false">
      <c r="A438" s="2" t="s">
        <v>20</v>
      </c>
      <c r="B438" s="2" t="n">
        <v>3</v>
      </c>
      <c r="C438" s="33" t="n">
        <v>46265</v>
      </c>
      <c r="D438" s="2" t="n">
        <v>2</v>
      </c>
      <c r="E438" s="2" t="s">
        <v>26</v>
      </c>
      <c r="F438" s="2" t="s">
        <v>27</v>
      </c>
      <c r="G438" s="2" t="s">
        <v>28</v>
      </c>
      <c r="H438" s="2" t="s">
        <v>95</v>
      </c>
      <c r="I438" s="2" t="s">
        <v>30</v>
      </c>
      <c r="J438" s="2" t="n">
        <v>107</v>
      </c>
      <c r="K438" s="2" t="s">
        <v>152</v>
      </c>
      <c r="L438" s="63" t="n">
        <f aca="false">SUM(V438:AB438)</f>
        <v>0.0113097335529233</v>
      </c>
      <c r="M438" s="63" t="n">
        <f aca="false">MAX(O438:U438)</f>
        <v>12</v>
      </c>
      <c r="N438" s="15" t="n">
        <f aca="false">COUNTIF(M438,"&gt;9.9")</f>
        <v>1</v>
      </c>
      <c r="O438" s="2" t="n">
        <v>12</v>
      </c>
      <c r="V438" s="63" t="n">
        <f aca="false">PI()*POWER((O438/200),2)</f>
        <v>0.0113097335529233</v>
      </c>
      <c r="W438" s="63" t="n">
        <f aca="false">PI()*POWER((P438/200),2)</f>
        <v>0</v>
      </c>
      <c r="X438" s="63" t="n">
        <f aca="false">PI()*POWER((Q438/200),2)</f>
        <v>0</v>
      </c>
      <c r="Y438" s="63" t="n">
        <f aca="false">PI()*POWER((R438/200),2)</f>
        <v>0</v>
      </c>
      <c r="Z438" s="63" t="n">
        <f aca="false">PI()*POWER((S438/200),2)</f>
        <v>0</v>
      </c>
      <c r="AA438" s="63" t="n">
        <f aca="false">PI()*POWER((T438/200),2)</f>
        <v>0</v>
      </c>
      <c r="AB438" s="63" t="n">
        <f aca="false">PI()*POWER((U438/200),2)</f>
        <v>0</v>
      </c>
    </row>
    <row r="439" customFormat="false" ht="15" hidden="false" customHeight="false" outlineLevel="0" collapsed="false">
      <c r="A439" s="2" t="s">
        <v>20</v>
      </c>
      <c r="B439" s="2" t="n">
        <v>3</v>
      </c>
      <c r="C439" s="33" t="n">
        <v>46265</v>
      </c>
      <c r="D439" s="2" t="n">
        <v>2</v>
      </c>
      <c r="E439" s="2" t="s">
        <v>26</v>
      </c>
      <c r="F439" s="2" t="s">
        <v>27</v>
      </c>
      <c r="G439" s="2" t="s">
        <v>28</v>
      </c>
      <c r="H439" s="2" t="s">
        <v>95</v>
      </c>
      <c r="I439" s="2" t="s">
        <v>30</v>
      </c>
      <c r="J439" s="2" t="n">
        <v>21</v>
      </c>
      <c r="K439" s="2" t="s">
        <v>152</v>
      </c>
      <c r="L439" s="63" t="n">
        <f aca="false">SUM(V439:AB439)</f>
        <v>0.0120762821603992</v>
      </c>
      <c r="M439" s="63" t="n">
        <f aca="false">MAX(O439:U439)</f>
        <v>12.4</v>
      </c>
      <c r="N439" s="15" t="n">
        <f aca="false">COUNTIF(M439,"&gt;9.9")</f>
        <v>1</v>
      </c>
      <c r="O439" s="2" t="n">
        <v>12.4</v>
      </c>
      <c r="V439" s="63" t="n">
        <f aca="false">PI()*POWER((O439/200),2)</f>
        <v>0.0120762821603992</v>
      </c>
      <c r="W439" s="63" t="n">
        <f aca="false">PI()*POWER((P439/200),2)</f>
        <v>0</v>
      </c>
      <c r="X439" s="63" t="n">
        <f aca="false">PI()*POWER((Q439/200),2)</f>
        <v>0</v>
      </c>
      <c r="Y439" s="63" t="n">
        <f aca="false">PI()*POWER((R439/200),2)</f>
        <v>0</v>
      </c>
      <c r="Z439" s="63" t="n">
        <f aca="false">PI()*POWER((S439/200),2)</f>
        <v>0</v>
      </c>
      <c r="AA439" s="63" t="n">
        <f aca="false">PI()*POWER((T439/200),2)</f>
        <v>0</v>
      </c>
      <c r="AB439" s="63" t="n">
        <f aca="false">PI()*POWER((U439/200),2)</f>
        <v>0</v>
      </c>
    </row>
    <row r="440" customFormat="false" ht="15" hidden="false" customHeight="false" outlineLevel="0" collapsed="false">
      <c r="A440" s="2" t="s">
        <v>20</v>
      </c>
      <c r="B440" s="2" t="n">
        <v>3</v>
      </c>
      <c r="C440" s="33" t="n">
        <v>46265</v>
      </c>
      <c r="D440" s="2" t="n">
        <v>2</v>
      </c>
      <c r="E440" s="2" t="s">
        <v>26</v>
      </c>
      <c r="F440" s="2" t="s">
        <v>27</v>
      </c>
      <c r="G440" s="2" t="s">
        <v>28</v>
      </c>
      <c r="H440" s="2" t="s">
        <v>95</v>
      </c>
      <c r="I440" s="2" t="s">
        <v>30</v>
      </c>
      <c r="J440" s="2" t="n">
        <v>100</v>
      </c>
      <c r="K440" s="2" t="s">
        <v>152</v>
      </c>
      <c r="L440" s="63" t="n">
        <f aca="false">SUM(V440:AB440)</f>
        <v>0.0122718463030851</v>
      </c>
      <c r="M440" s="63" t="n">
        <f aca="false">MAX(O440:U440)</f>
        <v>12.5</v>
      </c>
      <c r="N440" s="15" t="n">
        <f aca="false">COUNTIF(M440,"&gt;9.9")</f>
        <v>1</v>
      </c>
      <c r="O440" s="2" t="n">
        <v>12.5</v>
      </c>
      <c r="V440" s="63" t="n">
        <f aca="false">PI()*POWER((O440/200),2)</f>
        <v>0.0122718463030851</v>
      </c>
      <c r="W440" s="63" t="n">
        <f aca="false">PI()*POWER((P440/200),2)</f>
        <v>0</v>
      </c>
      <c r="X440" s="63" t="n">
        <f aca="false">PI()*POWER((Q440/200),2)</f>
        <v>0</v>
      </c>
      <c r="Y440" s="63" t="n">
        <f aca="false">PI()*POWER((R440/200),2)</f>
        <v>0</v>
      </c>
      <c r="Z440" s="63" t="n">
        <f aca="false">PI()*POWER((S440/200),2)</f>
        <v>0</v>
      </c>
      <c r="AA440" s="63" t="n">
        <f aca="false">PI()*POWER((T440/200),2)</f>
        <v>0</v>
      </c>
      <c r="AB440" s="63" t="n">
        <f aca="false">PI()*POWER((U440/200),2)</f>
        <v>0</v>
      </c>
    </row>
    <row r="441" customFormat="false" ht="15" hidden="false" customHeight="false" outlineLevel="0" collapsed="false">
      <c r="A441" s="2" t="s">
        <v>20</v>
      </c>
      <c r="B441" s="2" t="n">
        <v>3</v>
      </c>
      <c r="C441" s="33" t="n">
        <v>46265</v>
      </c>
      <c r="D441" s="2" t="n">
        <v>2</v>
      </c>
      <c r="E441" s="2" t="s">
        <v>26</v>
      </c>
      <c r="F441" s="2" t="s">
        <v>27</v>
      </c>
      <c r="G441" s="2" t="s">
        <v>28</v>
      </c>
      <c r="H441" s="2" t="s">
        <v>95</v>
      </c>
      <c r="I441" s="2" t="s">
        <v>30</v>
      </c>
      <c r="J441" s="2" t="n">
        <v>47</v>
      </c>
      <c r="K441" s="2" t="s">
        <v>152</v>
      </c>
      <c r="L441" s="63" t="n">
        <f aca="false">SUM(V441:AB441)</f>
        <v>0.0126676869774374</v>
      </c>
      <c r="M441" s="63" t="n">
        <f aca="false">MAX(O441:U441)</f>
        <v>12.7</v>
      </c>
      <c r="N441" s="15" t="n">
        <f aca="false">COUNTIF(M441,"&gt;9.9")</f>
        <v>1</v>
      </c>
      <c r="O441" s="2" t="n">
        <v>12.7</v>
      </c>
      <c r="V441" s="63" t="n">
        <f aca="false">PI()*POWER((O441/200),2)</f>
        <v>0.0126676869774374</v>
      </c>
      <c r="W441" s="63" t="n">
        <f aca="false">PI()*POWER((P441/200),2)</f>
        <v>0</v>
      </c>
      <c r="X441" s="63" t="n">
        <f aca="false">PI()*POWER((Q441/200),2)</f>
        <v>0</v>
      </c>
      <c r="Y441" s="63" t="n">
        <f aca="false">PI()*POWER((R441/200),2)</f>
        <v>0</v>
      </c>
      <c r="Z441" s="63" t="n">
        <f aca="false">PI()*POWER((S441/200),2)</f>
        <v>0</v>
      </c>
      <c r="AA441" s="63" t="n">
        <f aca="false">PI()*POWER((T441/200),2)</f>
        <v>0</v>
      </c>
      <c r="AB441" s="63" t="n">
        <f aca="false">PI()*POWER((U441/200),2)</f>
        <v>0</v>
      </c>
    </row>
    <row r="442" customFormat="false" ht="15" hidden="false" customHeight="false" outlineLevel="0" collapsed="false">
      <c r="A442" s="2" t="s">
        <v>20</v>
      </c>
      <c r="B442" s="2" t="n">
        <v>3</v>
      </c>
      <c r="C442" s="33" t="n">
        <v>46265</v>
      </c>
      <c r="D442" s="2" t="n">
        <v>2</v>
      </c>
      <c r="E442" s="2" t="s">
        <v>26</v>
      </c>
      <c r="F442" s="2" t="s">
        <v>27</v>
      </c>
      <c r="G442" s="2" t="s">
        <v>28</v>
      </c>
      <c r="H442" s="2" t="s">
        <v>95</v>
      </c>
      <c r="I442" s="2" t="s">
        <v>30</v>
      </c>
      <c r="J442" s="2" t="n">
        <v>102</v>
      </c>
      <c r="K442" s="2" t="s">
        <v>152</v>
      </c>
      <c r="L442" s="63" t="n">
        <f aca="false">SUM(V442:AB442)</f>
        <v>0.0490873852123405</v>
      </c>
      <c r="M442" s="63" t="n">
        <f aca="false">MAX(O442:U442)</f>
        <v>25</v>
      </c>
      <c r="N442" s="15" t="n">
        <f aca="false">COUNTIF(M442,"&gt;9.9")</f>
        <v>1</v>
      </c>
      <c r="O442" s="2" t="n">
        <v>25</v>
      </c>
      <c r="V442" s="63" t="n">
        <f aca="false">PI()*POWER((O442/200),2)</f>
        <v>0.0490873852123405</v>
      </c>
      <c r="W442" s="63" t="n">
        <f aca="false">PI()*POWER((P442/200),2)</f>
        <v>0</v>
      </c>
      <c r="X442" s="63" t="n">
        <f aca="false">PI()*POWER((Q442/200),2)</f>
        <v>0</v>
      </c>
      <c r="Y442" s="63" t="n">
        <f aca="false">PI()*POWER((R442/200),2)</f>
        <v>0</v>
      </c>
      <c r="Z442" s="63" t="n">
        <f aca="false">PI()*POWER((S442/200),2)</f>
        <v>0</v>
      </c>
      <c r="AA442" s="63" t="n">
        <f aca="false">PI()*POWER((T442/200),2)</f>
        <v>0</v>
      </c>
      <c r="AB442" s="63" t="n">
        <f aca="false">PI()*POWER((U442/200),2)</f>
        <v>0</v>
      </c>
    </row>
    <row r="443" customFormat="false" ht="15" hidden="false" customHeight="false" outlineLevel="0" collapsed="false">
      <c r="A443" s="2" t="s">
        <v>20</v>
      </c>
      <c r="B443" s="2" t="n">
        <v>3</v>
      </c>
      <c r="C443" s="33" t="n">
        <v>46265</v>
      </c>
      <c r="D443" s="2" t="n">
        <v>2</v>
      </c>
      <c r="E443" s="2" t="s">
        <v>26</v>
      </c>
      <c r="F443" s="2" t="s">
        <v>27</v>
      </c>
      <c r="G443" s="2" t="s">
        <v>28</v>
      </c>
      <c r="H443" s="2" t="s">
        <v>95</v>
      </c>
      <c r="I443" s="2" t="s">
        <v>30</v>
      </c>
      <c r="J443" s="2" t="n">
        <v>128</v>
      </c>
      <c r="K443" s="2" t="s">
        <v>152</v>
      </c>
      <c r="L443" s="63" t="n">
        <f aca="false">SUM(V443:AB443)</f>
        <v>0.0551545860245858</v>
      </c>
      <c r="M443" s="63" t="n">
        <f aca="false">MAX(O443:U443)</f>
        <v>26.5</v>
      </c>
      <c r="N443" s="15" t="n">
        <f aca="false">COUNTIF(M443,"&gt;9.9")</f>
        <v>1</v>
      </c>
      <c r="O443" s="2" t="n">
        <v>26.5</v>
      </c>
      <c r="V443" s="63" t="n">
        <f aca="false">PI()*POWER((O443/200),2)</f>
        <v>0.0551545860245858</v>
      </c>
      <c r="W443" s="63" t="n">
        <f aca="false">PI()*POWER((P443/200),2)</f>
        <v>0</v>
      </c>
      <c r="X443" s="63" t="n">
        <f aca="false">PI()*POWER((Q443/200),2)</f>
        <v>0</v>
      </c>
      <c r="Y443" s="63" t="n">
        <f aca="false">PI()*POWER((R443/200),2)</f>
        <v>0</v>
      </c>
      <c r="Z443" s="63" t="n">
        <f aca="false">PI()*POWER((S443/200),2)</f>
        <v>0</v>
      </c>
      <c r="AA443" s="63" t="n">
        <f aca="false">PI()*POWER((T443/200),2)</f>
        <v>0</v>
      </c>
      <c r="AB443" s="63" t="n">
        <f aca="false">PI()*POWER((U443/200),2)</f>
        <v>0</v>
      </c>
    </row>
    <row r="444" customFormat="false" ht="15" hidden="false" customHeight="false" outlineLevel="0" collapsed="false">
      <c r="A444" s="2" t="s">
        <v>20</v>
      </c>
      <c r="B444" s="2" t="n">
        <v>3</v>
      </c>
      <c r="C444" s="33" t="n">
        <v>46265</v>
      </c>
      <c r="D444" s="2" t="n">
        <v>2</v>
      </c>
      <c r="E444" s="2" t="s">
        <v>26</v>
      </c>
      <c r="F444" s="2" t="s">
        <v>27</v>
      </c>
      <c r="G444" s="2" t="s">
        <v>28</v>
      </c>
      <c r="H444" s="2" t="s">
        <v>95</v>
      </c>
      <c r="I444" s="2" t="s">
        <v>30</v>
      </c>
      <c r="J444" s="2" t="n">
        <v>59</v>
      </c>
      <c r="K444" s="2" t="s">
        <v>147</v>
      </c>
      <c r="L444" s="63" t="n">
        <f aca="false">SUM(V444:AB444)</f>
        <v>0.0333291564619341</v>
      </c>
      <c r="M444" s="63" t="n">
        <f aca="false">MAX(O444:U444)</f>
        <v>20.6</v>
      </c>
      <c r="N444" s="15" t="n">
        <f aca="false">COUNTIF(M444,"&gt;9.9")</f>
        <v>1</v>
      </c>
      <c r="O444" s="2" t="n">
        <v>20.6</v>
      </c>
      <c r="V444" s="63" t="n">
        <f aca="false">PI()*POWER((O444/200),2)</f>
        <v>0.0333291564619341</v>
      </c>
      <c r="W444" s="63" t="n">
        <f aca="false">PI()*POWER((P444/200),2)</f>
        <v>0</v>
      </c>
      <c r="X444" s="63" t="n">
        <f aca="false">PI()*POWER((Q444/200),2)</f>
        <v>0</v>
      </c>
      <c r="Y444" s="63" t="n">
        <f aca="false">PI()*POWER((R444/200),2)</f>
        <v>0</v>
      </c>
      <c r="Z444" s="63" t="n">
        <f aca="false">PI()*POWER((S444/200),2)</f>
        <v>0</v>
      </c>
      <c r="AA444" s="63" t="n">
        <f aca="false">PI()*POWER((T444/200),2)</f>
        <v>0</v>
      </c>
      <c r="AB444" s="63" t="n">
        <f aca="false">PI()*POWER((U444/200),2)</f>
        <v>0</v>
      </c>
    </row>
    <row r="445" customFormat="false" ht="15" hidden="false" customHeight="false" outlineLevel="0" collapsed="false">
      <c r="A445" s="2" t="s">
        <v>20</v>
      </c>
      <c r="B445" s="2" t="n">
        <v>3</v>
      </c>
      <c r="C445" s="33" t="n">
        <v>46265</v>
      </c>
      <c r="D445" s="2" t="n">
        <v>2</v>
      </c>
      <c r="E445" s="2" t="s">
        <v>26</v>
      </c>
      <c r="F445" s="2" t="s">
        <v>27</v>
      </c>
      <c r="G445" s="2" t="s">
        <v>28</v>
      </c>
      <c r="H445" s="2" t="s">
        <v>95</v>
      </c>
      <c r="I445" s="2" t="s">
        <v>30</v>
      </c>
      <c r="J445" s="2" t="n">
        <v>8</v>
      </c>
      <c r="K445" s="2" t="s">
        <v>147</v>
      </c>
      <c r="L445" s="63" t="n">
        <f aca="false">SUM(V445:AB445)</f>
        <v>0.0514718540364152</v>
      </c>
      <c r="M445" s="63" t="n">
        <f aca="false">MAX(O445:U445)</f>
        <v>25.6</v>
      </c>
      <c r="N445" s="15" t="n">
        <f aca="false">COUNTIF(M445,"&gt;9.9")</f>
        <v>1</v>
      </c>
      <c r="O445" s="2" t="n">
        <v>25.6</v>
      </c>
      <c r="V445" s="63" t="n">
        <f aca="false">PI()*POWER((O445/200),2)</f>
        <v>0.0514718540364152</v>
      </c>
      <c r="W445" s="63" t="n">
        <f aca="false">PI()*POWER((P445/200),2)</f>
        <v>0</v>
      </c>
      <c r="X445" s="63" t="n">
        <f aca="false">PI()*POWER((Q445/200),2)</f>
        <v>0</v>
      </c>
      <c r="Y445" s="63" t="n">
        <f aca="false">PI()*POWER((R445/200),2)</f>
        <v>0</v>
      </c>
      <c r="Z445" s="63" t="n">
        <f aca="false">PI()*POWER((S445/200),2)</f>
        <v>0</v>
      </c>
      <c r="AA445" s="63" t="n">
        <f aca="false">PI()*POWER((T445/200),2)</f>
        <v>0</v>
      </c>
      <c r="AB445" s="63" t="n">
        <f aca="false">PI()*POWER((U445/200),2)</f>
        <v>0</v>
      </c>
    </row>
    <row r="446" customFormat="false" ht="15" hidden="false" customHeight="false" outlineLevel="0" collapsed="false">
      <c r="A446" s="2" t="s">
        <v>20</v>
      </c>
      <c r="B446" s="2" t="n">
        <v>3</v>
      </c>
      <c r="C446" s="33" t="n">
        <v>46265</v>
      </c>
      <c r="D446" s="2" t="n">
        <v>2</v>
      </c>
      <c r="E446" s="2" t="s">
        <v>26</v>
      </c>
      <c r="F446" s="2" t="s">
        <v>27</v>
      </c>
      <c r="G446" s="2" t="s">
        <v>28</v>
      </c>
      <c r="H446" s="2" t="s">
        <v>95</v>
      </c>
      <c r="I446" s="2" t="s">
        <v>30</v>
      </c>
      <c r="J446" s="2" t="n">
        <v>37</v>
      </c>
      <c r="K446" s="2" t="s">
        <v>147</v>
      </c>
      <c r="L446" s="63" t="n">
        <f aca="false">SUM(V446:AB446)</f>
        <v>0.0602628156793228</v>
      </c>
      <c r="M446" s="63" t="n">
        <f aca="false">MAX(O446:U446)</f>
        <v>27.7</v>
      </c>
      <c r="N446" s="15" t="n">
        <f aca="false">COUNTIF(M446,"&gt;9.9")</f>
        <v>1</v>
      </c>
      <c r="O446" s="2" t="n">
        <v>27.7</v>
      </c>
      <c r="V446" s="63" t="n">
        <f aca="false">PI()*POWER((O446/200),2)</f>
        <v>0.0602628156793228</v>
      </c>
      <c r="W446" s="63" t="n">
        <f aca="false">PI()*POWER((P446/200),2)</f>
        <v>0</v>
      </c>
      <c r="X446" s="63" t="n">
        <f aca="false">PI()*POWER((Q446/200),2)</f>
        <v>0</v>
      </c>
      <c r="Y446" s="63" t="n">
        <f aca="false">PI()*POWER((R446/200),2)</f>
        <v>0</v>
      </c>
      <c r="Z446" s="63" t="n">
        <f aca="false">PI()*POWER((S446/200),2)</f>
        <v>0</v>
      </c>
      <c r="AA446" s="63" t="n">
        <f aca="false">PI()*POWER((T446/200),2)</f>
        <v>0</v>
      </c>
      <c r="AB446" s="63" t="n">
        <f aca="false">PI()*POWER((U446/200),2)</f>
        <v>0</v>
      </c>
    </row>
    <row r="447" customFormat="false" ht="15" hidden="false" customHeight="false" outlineLevel="0" collapsed="false">
      <c r="A447" s="2" t="s">
        <v>20</v>
      </c>
      <c r="B447" s="2" t="n">
        <v>3</v>
      </c>
      <c r="C447" s="33" t="n">
        <v>46265</v>
      </c>
      <c r="D447" s="2" t="n">
        <v>2</v>
      </c>
      <c r="E447" s="2" t="s">
        <v>26</v>
      </c>
      <c r="F447" s="2" t="s">
        <v>27</v>
      </c>
      <c r="G447" s="2" t="s">
        <v>28</v>
      </c>
      <c r="H447" s="2" t="s">
        <v>95</v>
      </c>
      <c r="I447" s="2" t="s">
        <v>30</v>
      </c>
      <c r="J447" s="2" t="n">
        <v>93</v>
      </c>
      <c r="K447" s="2" t="s">
        <v>147</v>
      </c>
      <c r="L447" s="63" t="n">
        <f aca="false">SUM(V447:AB447)</f>
        <v>0.0962112750161874</v>
      </c>
      <c r="M447" s="63" t="n">
        <f aca="false">MAX(O447:U447)</f>
        <v>35</v>
      </c>
      <c r="N447" s="15" t="n">
        <f aca="false">COUNTIF(M447,"&gt;9.9")</f>
        <v>1</v>
      </c>
      <c r="O447" s="2" t="n">
        <v>35</v>
      </c>
      <c r="V447" s="63" t="n">
        <f aca="false">PI()*POWER((O447/200),2)</f>
        <v>0.0962112750161874</v>
      </c>
      <c r="W447" s="63" t="n">
        <f aca="false">PI()*POWER((P447/200),2)</f>
        <v>0</v>
      </c>
      <c r="X447" s="63" t="n">
        <f aca="false">PI()*POWER((Q447/200),2)</f>
        <v>0</v>
      </c>
      <c r="Y447" s="63" t="n">
        <f aca="false">PI()*POWER((R447/200),2)</f>
        <v>0</v>
      </c>
      <c r="Z447" s="63" t="n">
        <f aca="false">PI()*POWER((S447/200),2)</f>
        <v>0</v>
      </c>
      <c r="AA447" s="63" t="n">
        <f aca="false">PI()*POWER((T447/200),2)</f>
        <v>0</v>
      </c>
      <c r="AB447" s="63" t="n">
        <f aca="false">PI()*POWER((U447/200),2)</f>
        <v>0</v>
      </c>
    </row>
    <row r="448" customFormat="false" ht="15" hidden="false" customHeight="false" outlineLevel="0" collapsed="false">
      <c r="A448" s="2" t="s">
        <v>20</v>
      </c>
      <c r="B448" s="2" t="n">
        <v>3</v>
      </c>
      <c r="C448" s="33" t="n">
        <v>46265</v>
      </c>
      <c r="D448" s="2" t="n">
        <v>2</v>
      </c>
      <c r="E448" s="2" t="s">
        <v>26</v>
      </c>
      <c r="F448" s="2" t="s">
        <v>27</v>
      </c>
      <c r="G448" s="2" t="s">
        <v>28</v>
      </c>
      <c r="H448" s="2" t="s">
        <v>95</v>
      </c>
      <c r="I448" s="2" t="s">
        <v>30</v>
      </c>
      <c r="J448" s="2" t="n">
        <v>38</v>
      </c>
      <c r="K448" s="2" t="s">
        <v>147</v>
      </c>
      <c r="L448" s="63" t="n">
        <f aca="false">SUM(V448:AB448)</f>
        <v>0.10694059932636</v>
      </c>
      <c r="M448" s="63" t="n">
        <f aca="false">MAX(O448:U448)</f>
        <v>36.9</v>
      </c>
      <c r="N448" s="15" t="n">
        <f aca="false">COUNTIF(M448,"&gt;9.9")</f>
        <v>1</v>
      </c>
      <c r="O448" s="2" t="n">
        <v>36.9</v>
      </c>
      <c r="V448" s="63" t="n">
        <f aca="false">PI()*POWER((O448/200),2)</f>
        <v>0.10694059932636</v>
      </c>
      <c r="W448" s="63" t="n">
        <f aca="false">PI()*POWER((P448/200),2)</f>
        <v>0</v>
      </c>
      <c r="X448" s="63" t="n">
        <f aca="false">PI()*POWER((Q448/200),2)</f>
        <v>0</v>
      </c>
      <c r="Y448" s="63" t="n">
        <f aca="false">PI()*POWER((R448/200),2)</f>
        <v>0</v>
      </c>
      <c r="Z448" s="63" t="n">
        <f aca="false">PI()*POWER((S448/200),2)</f>
        <v>0</v>
      </c>
      <c r="AA448" s="63" t="n">
        <f aca="false">PI()*POWER((T448/200),2)</f>
        <v>0</v>
      </c>
      <c r="AB448" s="63" t="n">
        <f aca="false">PI()*POWER((U448/200),2)</f>
        <v>0</v>
      </c>
    </row>
    <row r="449" customFormat="false" ht="15" hidden="false" customHeight="false" outlineLevel="0" collapsed="false">
      <c r="A449" s="2" t="s">
        <v>20</v>
      </c>
      <c r="B449" s="2" t="n">
        <v>3</v>
      </c>
      <c r="C449" s="33" t="n">
        <v>46265</v>
      </c>
      <c r="D449" s="2" t="n">
        <v>2</v>
      </c>
      <c r="E449" s="2" t="s">
        <v>26</v>
      </c>
      <c r="F449" s="2" t="s">
        <v>27</v>
      </c>
      <c r="G449" s="2" t="s">
        <v>28</v>
      </c>
      <c r="H449" s="2" t="s">
        <v>95</v>
      </c>
      <c r="I449" s="2" t="s">
        <v>30</v>
      </c>
      <c r="J449" s="2" t="n">
        <v>80</v>
      </c>
      <c r="K449" s="2" t="s">
        <v>147</v>
      </c>
      <c r="L449" s="63" t="n">
        <f aca="false">SUM(V449:AB449)</f>
        <v>0.121303960938572</v>
      </c>
      <c r="M449" s="63" t="n">
        <f aca="false">MAX(O449:U449)</f>
        <v>39.3</v>
      </c>
      <c r="N449" s="15" t="n">
        <f aca="false">COUNTIF(M449,"&gt;9.9")</f>
        <v>1</v>
      </c>
      <c r="O449" s="2" t="n">
        <v>39.3</v>
      </c>
      <c r="V449" s="63" t="n">
        <f aca="false">PI()*POWER((O449/200),2)</f>
        <v>0.121303960938572</v>
      </c>
      <c r="W449" s="63" t="n">
        <f aca="false">PI()*POWER((P449/200),2)</f>
        <v>0</v>
      </c>
      <c r="X449" s="63" t="n">
        <f aca="false">PI()*POWER((Q449/200),2)</f>
        <v>0</v>
      </c>
      <c r="Y449" s="63" t="n">
        <f aca="false">PI()*POWER((R449/200),2)</f>
        <v>0</v>
      </c>
      <c r="Z449" s="63" t="n">
        <f aca="false">PI()*POWER((S449/200),2)</f>
        <v>0</v>
      </c>
      <c r="AA449" s="63" t="n">
        <f aca="false">PI()*POWER((T449/200),2)</f>
        <v>0</v>
      </c>
      <c r="AB449" s="63" t="n">
        <f aca="false">PI()*POWER((U449/200),2)</f>
        <v>0</v>
      </c>
    </row>
    <row r="450" customFormat="false" ht="15" hidden="false" customHeight="false" outlineLevel="0" collapsed="false">
      <c r="A450" s="2" t="s">
        <v>20</v>
      </c>
      <c r="B450" s="2" t="n">
        <v>3</v>
      </c>
      <c r="C450" s="33" t="n">
        <v>46265</v>
      </c>
      <c r="D450" s="2" t="n">
        <v>2</v>
      </c>
      <c r="E450" s="2" t="s">
        <v>26</v>
      </c>
      <c r="F450" s="2" t="s">
        <v>27</v>
      </c>
      <c r="G450" s="2" t="s">
        <v>28</v>
      </c>
      <c r="H450" s="2" t="s">
        <v>95</v>
      </c>
      <c r="I450" s="2" t="s">
        <v>30</v>
      </c>
      <c r="J450" s="2" t="n">
        <v>15</v>
      </c>
      <c r="K450" s="2" t="s">
        <v>147</v>
      </c>
      <c r="L450" s="63" t="n">
        <f aca="false">SUM(V450:AB450)</f>
        <v>0.194955459109332</v>
      </c>
      <c r="M450" s="63" t="n">
        <f aca="false">MAX(O450:U450)</f>
        <v>49.6</v>
      </c>
      <c r="N450" s="15" t="n">
        <f aca="false">COUNTIF(M450,"&gt;9.9")</f>
        <v>1</v>
      </c>
      <c r="O450" s="2" t="n">
        <v>49.6</v>
      </c>
      <c r="P450" s="2" t="n">
        <v>4.7</v>
      </c>
      <c r="V450" s="63" t="n">
        <f aca="false">PI()*POWER((O450/200),2)</f>
        <v>0.193220514566387</v>
      </c>
      <c r="W450" s="63" t="n">
        <f aca="false">PI()*POWER((P450/200),2)</f>
        <v>0.00173494454294496</v>
      </c>
      <c r="X450" s="63" t="n">
        <f aca="false">PI()*POWER((Q450/200),2)</f>
        <v>0</v>
      </c>
      <c r="Y450" s="63" t="n">
        <f aca="false">PI()*POWER((R450/200),2)</f>
        <v>0</v>
      </c>
      <c r="Z450" s="63" t="n">
        <f aca="false">PI()*POWER((S450/200),2)</f>
        <v>0</v>
      </c>
      <c r="AA450" s="63" t="n">
        <f aca="false">PI()*POWER((T450/200),2)</f>
        <v>0</v>
      </c>
      <c r="AB450" s="63" t="n">
        <f aca="false">PI()*POWER((U450/200),2)</f>
        <v>0</v>
      </c>
    </row>
    <row r="451" customFormat="false" ht="15" hidden="false" customHeight="false" outlineLevel="0" collapsed="false">
      <c r="A451" s="2" t="s">
        <v>20</v>
      </c>
      <c r="B451" s="2" t="n">
        <v>3</v>
      </c>
      <c r="C451" s="33" t="n">
        <v>46265</v>
      </c>
      <c r="D451" s="2" t="n">
        <v>2</v>
      </c>
      <c r="E451" s="2" t="s">
        <v>26</v>
      </c>
      <c r="F451" s="2" t="s">
        <v>27</v>
      </c>
      <c r="G451" s="2" t="s">
        <v>28</v>
      </c>
      <c r="H451" s="2" t="s">
        <v>95</v>
      </c>
      <c r="I451" s="2" t="s">
        <v>30</v>
      </c>
      <c r="J451" s="2" t="n">
        <v>40</v>
      </c>
      <c r="K451" s="2" t="s">
        <v>147</v>
      </c>
      <c r="L451" s="63" t="n">
        <f aca="false">SUM(V451:AB451)</f>
        <v>0.277116746380502</v>
      </c>
      <c r="M451" s="63" t="n">
        <f aca="false">MAX(O451:U451)</f>
        <v>59.4</v>
      </c>
      <c r="N451" s="15" t="n">
        <f aca="false">COUNTIF(M451,"&gt;9.9")</f>
        <v>1</v>
      </c>
      <c r="O451" s="2" t="n">
        <v>59.4</v>
      </c>
      <c r="V451" s="63" t="n">
        <f aca="false">PI()*POWER((O451/200),2)</f>
        <v>0.277116746380502</v>
      </c>
      <c r="W451" s="63" t="n">
        <f aca="false">PI()*POWER((P451/200),2)</f>
        <v>0</v>
      </c>
      <c r="X451" s="63" t="n">
        <f aca="false">PI()*POWER((Q451/200),2)</f>
        <v>0</v>
      </c>
      <c r="Y451" s="63" t="n">
        <f aca="false">PI()*POWER((R451/200),2)</f>
        <v>0</v>
      </c>
      <c r="Z451" s="63" t="n">
        <f aca="false">PI()*POWER((S451/200),2)</f>
        <v>0</v>
      </c>
      <c r="AA451" s="63" t="n">
        <f aca="false">PI()*POWER((T451/200),2)</f>
        <v>0</v>
      </c>
      <c r="AB451" s="63" t="n">
        <f aca="false">PI()*POWER((U451/200),2)</f>
        <v>0</v>
      </c>
    </row>
    <row r="452" customFormat="false" ht="15" hidden="false" customHeight="false" outlineLevel="0" collapsed="false">
      <c r="A452" s="2" t="s">
        <v>20</v>
      </c>
      <c r="B452" s="2" t="n">
        <v>3</v>
      </c>
      <c r="C452" s="33" t="n">
        <v>46265</v>
      </c>
      <c r="D452" s="2" t="n">
        <v>2</v>
      </c>
      <c r="E452" s="2" t="s">
        <v>26</v>
      </c>
      <c r="F452" s="2" t="s">
        <v>27</v>
      </c>
      <c r="G452" s="2" t="s">
        <v>28</v>
      </c>
      <c r="H452" s="2" t="s">
        <v>95</v>
      </c>
      <c r="I452" s="2" t="s">
        <v>30</v>
      </c>
      <c r="J452" s="2" t="n">
        <v>19</v>
      </c>
      <c r="K452" s="32" t="s">
        <v>148</v>
      </c>
      <c r="L452" s="63" t="n">
        <f aca="false">SUM(V452:AB452)</f>
        <v>0.0196066797510539</v>
      </c>
      <c r="M452" s="63" t="n">
        <f aca="false">MAX(O452:U452)</f>
        <v>15.8</v>
      </c>
      <c r="N452" s="15" t="n">
        <f aca="false">COUNTIF(M452,"&gt;9.9")</f>
        <v>1</v>
      </c>
      <c r="O452" s="2" t="n">
        <v>15.8</v>
      </c>
      <c r="V452" s="63" t="n">
        <f aca="false">PI()*POWER((O452/200),2)</f>
        <v>0.0196066797510539</v>
      </c>
      <c r="W452" s="63" t="n">
        <f aca="false">PI()*POWER((P452/200),2)</f>
        <v>0</v>
      </c>
      <c r="X452" s="63" t="n">
        <f aca="false">PI()*POWER((Q452/200),2)</f>
        <v>0</v>
      </c>
      <c r="Y452" s="63" t="n">
        <f aca="false">PI()*POWER((R452/200),2)</f>
        <v>0</v>
      </c>
      <c r="Z452" s="63" t="n">
        <f aca="false">PI()*POWER((S452/200),2)</f>
        <v>0</v>
      </c>
      <c r="AA452" s="63" t="n">
        <f aca="false">PI()*POWER((T452/200),2)</f>
        <v>0</v>
      </c>
      <c r="AB452" s="63" t="n">
        <f aca="false">PI()*POWER((U452/200),2)</f>
        <v>0</v>
      </c>
    </row>
    <row r="453" customFormat="false" ht="15" hidden="false" customHeight="false" outlineLevel="0" collapsed="false">
      <c r="A453" s="2" t="s">
        <v>20</v>
      </c>
      <c r="B453" s="2" t="n">
        <v>3</v>
      </c>
      <c r="C453" s="33" t="n">
        <v>46265</v>
      </c>
      <c r="D453" s="2" t="n">
        <v>2</v>
      </c>
      <c r="E453" s="2" t="s">
        <v>26</v>
      </c>
      <c r="F453" s="2" t="s">
        <v>27</v>
      </c>
      <c r="G453" s="2" t="s">
        <v>28</v>
      </c>
      <c r="H453" s="2" t="s">
        <v>95</v>
      </c>
      <c r="I453" s="2" t="s">
        <v>30</v>
      </c>
      <c r="J453" s="2" t="n">
        <v>145</v>
      </c>
      <c r="K453" s="65" t="s">
        <v>153</v>
      </c>
      <c r="L453" s="63" t="n">
        <f aca="false">SUM(V453:AB453)</f>
        <v>0</v>
      </c>
      <c r="M453" s="63" t="n">
        <f aca="false">MAX(O453:U453)</f>
        <v>0</v>
      </c>
      <c r="N453" s="15" t="n">
        <f aca="false">COUNTIF(M453,"&gt;9.9")</f>
        <v>0</v>
      </c>
      <c r="O453" s="2" t="s">
        <v>88</v>
      </c>
      <c r="V453" s="63"/>
      <c r="W453" s="63" t="n">
        <f aca="false">PI()*POWER((P453/200),2)</f>
        <v>0</v>
      </c>
      <c r="X453" s="63" t="n">
        <f aca="false">PI()*POWER((Q453/200),2)</f>
        <v>0</v>
      </c>
      <c r="Y453" s="63" t="n">
        <f aca="false">PI()*POWER((R453/200),2)</f>
        <v>0</v>
      </c>
      <c r="Z453" s="63" t="n">
        <f aca="false">PI()*POWER((S453/200),2)</f>
        <v>0</v>
      </c>
      <c r="AA453" s="63" t="n">
        <f aca="false">PI()*POWER((T453/200),2)</f>
        <v>0</v>
      </c>
      <c r="AB453" s="63" t="n">
        <f aca="false">PI()*POWER((U453/200),2)</f>
        <v>0</v>
      </c>
    </row>
    <row r="454" customFormat="false" ht="15" hidden="false" customHeight="false" outlineLevel="0" collapsed="false">
      <c r="A454" s="2" t="s">
        <v>20</v>
      </c>
      <c r="B454" s="2" t="n">
        <v>3</v>
      </c>
      <c r="C454" s="33" t="n">
        <v>46265</v>
      </c>
      <c r="D454" s="2" t="n">
        <v>2</v>
      </c>
      <c r="E454" s="2" t="s">
        <v>26</v>
      </c>
      <c r="F454" s="2" t="s">
        <v>27</v>
      </c>
      <c r="G454" s="2" t="s">
        <v>28</v>
      </c>
      <c r="H454" s="2" t="s">
        <v>95</v>
      </c>
      <c r="I454" s="2" t="s">
        <v>30</v>
      </c>
      <c r="J454" s="2" t="n">
        <v>90</v>
      </c>
      <c r="K454" s="32" t="s">
        <v>105</v>
      </c>
      <c r="L454" s="63" t="n">
        <f aca="false">SUM(V454:AB454)</f>
        <v>0</v>
      </c>
      <c r="M454" s="63" t="n">
        <f aca="false">MAX(O454:U454)</f>
        <v>0</v>
      </c>
      <c r="N454" s="15" t="n">
        <f aca="false">COUNTIF(M454,"&gt;9.9")</f>
        <v>0</v>
      </c>
      <c r="O454" s="2" t="s">
        <v>88</v>
      </c>
      <c r="V454" s="63"/>
      <c r="W454" s="63" t="n">
        <f aca="false">PI()*POWER((P454/200),2)</f>
        <v>0</v>
      </c>
      <c r="X454" s="63" t="n">
        <f aca="false">PI()*POWER((Q454/200),2)</f>
        <v>0</v>
      </c>
      <c r="Y454" s="63" t="n">
        <f aca="false">PI()*POWER((R454/200),2)</f>
        <v>0</v>
      </c>
      <c r="Z454" s="63" t="n">
        <f aca="false">PI()*POWER((S454/200),2)</f>
        <v>0</v>
      </c>
      <c r="AA454" s="63" t="n">
        <f aca="false">PI()*POWER((T454/200),2)</f>
        <v>0</v>
      </c>
      <c r="AB454" s="63" t="n">
        <f aca="false">PI()*POWER((U454/200),2)</f>
        <v>0</v>
      </c>
    </row>
    <row r="455" customFormat="false" ht="15" hidden="false" customHeight="false" outlineLevel="0" collapsed="false">
      <c r="A455" s="2" t="s">
        <v>20</v>
      </c>
      <c r="B455" s="2" t="n">
        <v>3</v>
      </c>
      <c r="C455" s="33" t="n">
        <v>46265</v>
      </c>
      <c r="D455" s="2" t="n">
        <v>2</v>
      </c>
      <c r="E455" s="2" t="s">
        <v>26</v>
      </c>
      <c r="F455" s="2" t="s">
        <v>27</v>
      </c>
      <c r="G455" s="2" t="s">
        <v>28</v>
      </c>
      <c r="H455" s="2" t="s">
        <v>95</v>
      </c>
      <c r="I455" s="2" t="s">
        <v>30</v>
      </c>
      <c r="J455" s="2" t="n">
        <v>121</v>
      </c>
      <c r="K455" s="32" t="s">
        <v>105</v>
      </c>
      <c r="L455" s="63" t="n">
        <f aca="false">SUM(V455:AB455)</f>
        <v>0</v>
      </c>
      <c r="M455" s="63" t="n">
        <f aca="false">MAX(O455:U455)</f>
        <v>0</v>
      </c>
      <c r="N455" s="15" t="n">
        <f aca="false">COUNTIF(M455,"&gt;9.9")</f>
        <v>0</v>
      </c>
      <c r="O455" s="2" t="s">
        <v>88</v>
      </c>
      <c r="V455" s="63"/>
      <c r="W455" s="63" t="n">
        <f aca="false">PI()*POWER((P455/200),2)</f>
        <v>0</v>
      </c>
      <c r="X455" s="63" t="n">
        <f aca="false">PI()*POWER((Q455/200),2)</f>
        <v>0</v>
      </c>
      <c r="Y455" s="63" t="n">
        <f aca="false">PI()*POWER((R455/200),2)</f>
        <v>0</v>
      </c>
      <c r="Z455" s="63" t="n">
        <f aca="false">PI()*POWER((S455/200),2)</f>
        <v>0</v>
      </c>
      <c r="AA455" s="63" t="n">
        <f aca="false">PI()*POWER((T455/200),2)</f>
        <v>0</v>
      </c>
      <c r="AB455" s="63" t="n">
        <f aca="false">PI()*POWER((U455/200),2)</f>
        <v>0</v>
      </c>
    </row>
    <row r="456" customFormat="false" ht="15" hidden="false" customHeight="false" outlineLevel="0" collapsed="false">
      <c r="A456" s="2" t="s">
        <v>20</v>
      </c>
      <c r="B456" s="2" t="n">
        <v>3</v>
      </c>
      <c r="C456" s="33" t="n">
        <v>46265</v>
      </c>
      <c r="D456" s="2" t="n">
        <v>2</v>
      </c>
      <c r="E456" s="2" t="s">
        <v>26</v>
      </c>
      <c r="F456" s="2" t="s">
        <v>27</v>
      </c>
      <c r="G456" s="2" t="s">
        <v>28</v>
      </c>
      <c r="H456" s="2" t="s">
        <v>95</v>
      </c>
      <c r="I456" s="2" t="s">
        <v>30</v>
      </c>
      <c r="J456" s="2" t="n">
        <v>125</v>
      </c>
      <c r="K456" s="32" t="s">
        <v>105</v>
      </c>
      <c r="L456" s="63" t="n">
        <f aca="false">SUM(V456:AB456)</f>
        <v>0</v>
      </c>
      <c r="M456" s="63" t="n">
        <f aca="false">MAX(O456:U456)</f>
        <v>0</v>
      </c>
      <c r="N456" s="15" t="n">
        <f aca="false">COUNTIF(M456,"&gt;9.9")</f>
        <v>0</v>
      </c>
      <c r="O456" s="2" t="s">
        <v>88</v>
      </c>
      <c r="V456" s="63"/>
      <c r="W456" s="63" t="n">
        <f aca="false">PI()*POWER((P456/200),2)</f>
        <v>0</v>
      </c>
      <c r="X456" s="63" t="n">
        <f aca="false">PI()*POWER((Q456/200),2)</f>
        <v>0</v>
      </c>
      <c r="Y456" s="63" t="n">
        <f aca="false">PI()*POWER((R456/200),2)</f>
        <v>0</v>
      </c>
      <c r="Z456" s="63" t="n">
        <f aca="false">PI()*POWER((S456/200),2)</f>
        <v>0</v>
      </c>
      <c r="AA456" s="63" t="n">
        <f aca="false">PI()*POWER((T456/200),2)</f>
        <v>0</v>
      </c>
      <c r="AB456" s="63" t="n">
        <f aca="false">PI()*POWER((U456/200),2)</f>
        <v>0</v>
      </c>
    </row>
    <row r="457" customFormat="false" ht="15" hidden="false" customHeight="false" outlineLevel="0" collapsed="false">
      <c r="A457" s="2" t="s">
        <v>20</v>
      </c>
      <c r="B457" s="2" t="n">
        <v>3</v>
      </c>
      <c r="C457" s="33" t="n">
        <v>46265</v>
      </c>
      <c r="D457" s="2" t="n">
        <v>2</v>
      </c>
      <c r="E457" s="2" t="s">
        <v>26</v>
      </c>
      <c r="F457" s="2" t="s">
        <v>27</v>
      </c>
      <c r="G457" s="2" t="s">
        <v>28</v>
      </c>
      <c r="H457" s="2" t="s">
        <v>95</v>
      </c>
      <c r="I457" s="2" t="s">
        <v>30</v>
      </c>
      <c r="J457" s="2" t="n">
        <v>58</v>
      </c>
      <c r="K457" s="32" t="s">
        <v>105</v>
      </c>
      <c r="L457" s="63" t="n">
        <f aca="false">SUM(V457:AB457)</f>
        <v>0.000132732289614169</v>
      </c>
      <c r="M457" s="63" t="n">
        <f aca="false">MAX(O457:U457)</f>
        <v>1.3</v>
      </c>
      <c r="N457" s="15" t="n">
        <f aca="false">COUNTIF(M457,"&gt;9.9")</f>
        <v>0</v>
      </c>
      <c r="O457" s="2" t="n">
        <v>1.3</v>
      </c>
      <c r="V457" s="63" t="n">
        <f aca="false">PI()*POWER((O457/200),2)</f>
        <v>0.000132732289614169</v>
      </c>
      <c r="W457" s="63" t="n">
        <f aca="false">PI()*POWER((P457/200),2)</f>
        <v>0</v>
      </c>
      <c r="X457" s="63" t="n">
        <f aca="false">PI()*POWER((Q457/200),2)</f>
        <v>0</v>
      </c>
      <c r="Y457" s="63" t="n">
        <f aca="false">PI()*POWER((R457/200),2)</f>
        <v>0</v>
      </c>
      <c r="Z457" s="63" t="n">
        <f aca="false">PI()*POWER((S457/200),2)</f>
        <v>0</v>
      </c>
      <c r="AA457" s="63" t="n">
        <f aca="false">PI()*POWER((T457/200),2)</f>
        <v>0</v>
      </c>
      <c r="AB457" s="63" t="n">
        <f aca="false">PI()*POWER((U457/200),2)</f>
        <v>0</v>
      </c>
    </row>
    <row r="458" customFormat="false" ht="15" hidden="false" customHeight="false" outlineLevel="0" collapsed="false">
      <c r="A458" s="2" t="s">
        <v>20</v>
      </c>
      <c r="B458" s="2" t="n">
        <v>3</v>
      </c>
      <c r="C458" s="33" t="n">
        <v>46265</v>
      </c>
      <c r="D458" s="2" t="n">
        <v>2</v>
      </c>
      <c r="E458" s="2" t="s">
        <v>26</v>
      </c>
      <c r="F458" s="2" t="s">
        <v>27</v>
      </c>
      <c r="G458" s="2" t="s">
        <v>28</v>
      </c>
      <c r="H458" s="2" t="s">
        <v>95</v>
      </c>
      <c r="I458" s="2" t="s">
        <v>30</v>
      </c>
      <c r="J458" s="2" t="n">
        <v>60</v>
      </c>
      <c r="K458" s="32" t="s">
        <v>105</v>
      </c>
      <c r="L458" s="63" t="n">
        <f aca="false">SUM(V458:AB458)</f>
        <v>0.000176714586764426</v>
      </c>
      <c r="M458" s="63" t="n">
        <f aca="false">MAX(O458:U458)</f>
        <v>1.5</v>
      </c>
      <c r="N458" s="15" t="n">
        <f aca="false">COUNTIF(M458,"&gt;9.9")</f>
        <v>0</v>
      </c>
      <c r="O458" s="2" t="n">
        <v>1.5</v>
      </c>
      <c r="V458" s="63" t="n">
        <f aca="false">PI()*POWER((O458/200),2)</f>
        <v>0.000176714586764426</v>
      </c>
      <c r="W458" s="63" t="n">
        <f aca="false">PI()*POWER((P458/200),2)</f>
        <v>0</v>
      </c>
      <c r="X458" s="63" t="n">
        <f aca="false">PI()*POWER((Q458/200),2)</f>
        <v>0</v>
      </c>
      <c r="Y458" s="63" t="n">
        <f aca="false">PI()*POWER((R458/200),2)</f>
        <v>0</v>
      </c>
      <c r="Z458" s="63" t="n">
        <f aca="false">PI()*POWER((S458/200),2)</f>
        <v>0</v>
      </c>
      <c r="AA458" s="63" t="n">
        <f aca="false">PI()*POWER((T458/200),2)</f>
        <v>0</v>
      </c>
      <c r="AB458" s="63" t="n">
        <f aca="false">PI()*POWER((U458/200),2)</f>
        <v>0</v>
      </c>
    </row>
    <row r="459" customFormat="false" ht="15" hidden="false" customHeight="false" outlineLevel="0" collapsed="false">
      <c r="A459" s="2" t="s">
        <v>20</v>
      </c>
      <c r="B459" s="2" t="n">
        <v>3</v>
      </c>
      <c r="C459" s="33" t="n">
        <v>46265</v>
      </c>
      <c r="D459" s="2" t="n">
        <v>2</v>
      </c>
      <c r="E459" s="2" t="s">
        <v>26</v>
      </c>
      <c r="F459" s="2" t="s">
        <v>27</v>
      </c>
      <c r="G459" s="2" t="s">
        <v>28</v>
      </c>
      <c r="H459" s="2" t="s">
        <v>95</v>
      </c>
      <c r="I459" s="2" t="s">
        <v>30</v>
      </c>
      <c r="J459" s="2" t="n">
        <v>103</v>
      </c>
      <c r="K459" s="32" t="s">
        <v>105</v>
      </c>
      <c r="L459" s="63" t="n">
        <f aca="false">SUM(V459:AB459)</f>
        <v>0.000176714586764426</v>
      </c>
      <c r="M459" s="63" t="n">
        <f aca="false">MAX(O459:U459)</f>
        <v>1.5</v>
      </c>
      <c r="N459" s="15" t="n">
        <f aca="false">COUNTIF(M459,"&gt;9.9")</f>
        <v>0</v>
      </c>
      <c r="O459" s="2" t="n">
        <v>1.5</v>
      </c>
      <c r="V459" s="63" t="n">
        <f aca="false">PI()*POWER((O459/200),2)</f>
        <v>0.000176714586764426</v>
      </c>
      <c r="W459" s="63" t="n">
        <f aca="false">PI()*POWER((P459/200),2)</f>
        <v>0</v>
      </c>
      <c r="X459" s="63" t="n">
        <f aca="false">PI()*POWER((Q459/200),2)</f>
        <v>0</v>
      </c>
      <c r="Y459" s="63" t="n">
        <f aca="false">PI()*POWER((R459/200),2)</f>
        <v>0</v>
      </c>
      <c r="Z459" s="63" t="n">
        <f aca="false">PI()*POWER((S459/200),2)</f>
        <v>0</v>
      </c>
      <c r="AA459" s="63" t="n">
        <f aca="false">PI()*POWER((T459/200),2)</f>
        <v>0</v>
      </c>
      <c r="AB459" s="63" t="n">
        <f aca="false">PI()*POWER((U459/200),2)</f>
        <v>0</v>
      </c>
    </row>
    <row r="460" customFormat="false" ht="15" hidden="false" customHeight="false" outlineLevel="0" collapsed="false">
      <c r="A460" s="2" t="s">
        <v>20</v>
      </c>
      <c r="B460" s="2" t="n">
        <v>3</v>
      </c>
      <c r="C460" s="33" t="n">
        <v>46265</v>
      </c>
      <c r="D460" s="2" t="n">
        <v>2</v>
      </c>
      <c r="E460" s="2" t="s">
        <v>26</v>
      </c>
      <c r="F460" s="2" t="s">
        <v>27</v>
      </c>
      <c r="G460" s="2" t="s">
        <v>28</v>
      </c>
      <c r="H460" s="2" t="s">
        <v>95</v>
      </c>
      <c r="I460" s="2" t="s">
        <v>30</v>
      </c>
      <c r="J460" s="2" t="n">
        <v>111</v>
      </c>
      <c r="K460" s="32" t="s">
        <v>105</v>
      </c>
      <c r="L460" s="63" t="n">
        <f aca="false">SUM(V460:AB460)</f>
        <v>0.000176714586764426</v>
      </c>
      <c r="M460" s="63" t="n">
        <f aca="false">MAX(O460:U460)</f>
        <v>1.5</v>
      </c>
      <c r="N460" s="15" t="n">
        <f aca="false">COUNTIF(M460,"&gt;9.9")</f>
        <v>0</v>
      </c>
      <c r="O460" s="2" t="n">
        <v>1.5</v>
      </c>
      <c r="V460" s="63" t="n">
        <f aca="false">PI()*POWER((O460/200),2)</f>
        <v>0.000176714586764426</v>
      </c>
      <c r="W460" s="63" t="n">
        <f aca="false">PI()*POWER((P460/200),2)</f>
        <v>0</v>
      </c>
      <c r="X460" s="63" t="n">
        <f aca="false">PI()*POWER((Q460/200),2)</f>
        <v>0</v>
      </c>
      <c r="Y460" s="63" t="n">
        <f aca="false">PI()*POWER((R460/200),2)</f>
        <v>0</v>
      </c>
      <c r="Z460" s="63" t="n">
        <f aca="false">PI()*POWER((S460/200),2)</f>
        <v>0</v>
      </c>
      <c r="AA460" s="63" t="n">
        <f aca="false">PI()*POWER((T460/200),2)</f>
        <v>0</v>
      </c>
      <c r="AB460" s="63" t="n">
        <f aca="false">PI()*POWER((U460/200),2)</f>
        <v>0</v>
      </c>
    </row>
    <row r="461" customFormat="false" ht="15" hidden="false" customHeight="false" outlineLevel="0" collapsed="false">
      <c r="A461" s="2" t="s">
        <v>20</v>
      </c>
      <c r="B461" s="2" t="n">
        <v>3</v>
      </c>
      <c r="C461" s="33" t="n">
        <v>46265</v>
      </c>
      <c r="D461" s="2" t="n">
        <v>2</v>
      </c>
      <c r="E461" s="2" t="s">
        <v>26</v>
      </c>
      <c r="F461" s="2" t="s">
        <v>27</v>
      </c>
      <c r="G461" s="2" t="s">
        <v>28</v>
      </c>
      <c r="H461" s="2" t="s">
        <v>95</v>
      </c>
      <c r="I461" s="2" t="s">
        <v>30</v>
      </c>
      <c r="J461" s="2" t="n">
        <v>89</v>
      </c>
      <c r="K461" s="32" t="s">
        <v>105</v>
      </c>
      <c r="L461" s="63" t="n">
        <f aca="false">SUM(V461:AB461)</f>
        <v>0.000201061929829747</v>
      </c>
      <c r="M461" s="63" t="n">
        <f aca="false">MAX(O461:U461)</f>
        <v>1.6</v>
      </c>
      <c r="N461" s="15" t="n">
        <f aca="false">COUNTIF(M461,"&gt;9.9")</f>
        <v>0</v>
      </c>
      <c r="O461" s="2" t="n">
        <v>1.6</v>
      </c>
      <c r="V461" s="63" t="n">
        <f aca="false">PI()*POWER((O461/200),2)</f>
        <v>0.000201061929829747</v>
      </c>
      <c r="W461" s="63" t="n">
        <f aca="false">PI()*POWER((P461/200),2)</f>
        <v>0</v>
      </c>
      <c r="X461" s="63" t="n">
        <f aca="false">PI()*POWER((Q461/200),2)</f>
        <v>0</v>
      </c>
      <c r="Y461" s="63" t="n">
        <f aca="false">PI()*POWER((R461/200),2)</f>
        <v>0</v>
      </c>
      <c r="Z461" s="63" t="n">
        <f aca="false">PI()*POWER((S461/200),2)</f>
        <v>0</v>
      </c>
      <c r="AA461" s="63" t="n">
        <f aca="false">PI()*POWER((T461/200),2)</f>
        <v>0</v>
      </c>
      <c r="AB461" s="63" t="n">
        <f aca="false">PI()*POWER((U461/200),2)</f>
        <v>0</v>
      </c>
    </row>
    <row r="462" customFormat="false" ht="15" hidden="false" customHeight="false" outlineLevel="0" collapsed="false">
      <c r="A462" s="2" t="s">
        <v>20</v>
      </c>
      <c r="B462" s="2" t="n">
        <v>3</v>
      </c>
      <c r="C462" s="33" t="n">
        <v>46265</v>
      </c>
      <c r="D462" s="2" t="n">
        <v>2</v>
      </c>
      <c r="E462" s="2" t="s">
        <v>26</v>
      </c>
      <c r="F462" s="2" t="s">
        <v>27</v>
      </c>
      <c r="G462" s="2" t="s">
        <v>28</v>
      </c>
      <c r="H462" s="2" t="s">
        <v>95</v>
      </c>
      <c r="I462" s="2" t="s">
        <v>30</v>
      </c>
      <c r="J462" s="2" t="n">
        <v>31</v>
      </c>
      <c r="K462" s="32" t="s">
        <v>105</v>
      </c>
      <c r="L462" s="63" t="n">
        <f aca="false">SUM(V462:AB462)</f>
        <v>0.000254469004940773</v>
      </c>
      <c r="M462" s="63" t="n">
        <f aca="false">MAX(O462:U462)</f>
        <v>1.8</v>
      </c>
      <c r="N462" s="15" t="n">
        <f aca="false">COUNTIF(M462,"&gt;9.9")</f>
        <v>0</v>
      </c>
      <c r="O462" s="2" t="n">
        <v>1.8</v>
      </c>
      <c r="V462" s="63" t="n">
        <f aca="false">PI()*POWER((O462/200),2)</f>
        <v>0.000254469004940773</v>
      </c>
      <c r="W462" s="63" t="n">
        <f aca="false">PI()*POWER((P462/200),2)</f>
        <v>0</v>
      </c>
      <c r="X462" s="63" t="n">
        <f aca="false">PI()*POWER((Q462/200),2)</f>
        <v>0</v>
      </c>
      <c r="Y462" s="63" t="n">
        <f aca="false">PI()*POWER((R462/200),2)</f>
        <v>0</v>
      </c>
      <c r="Z462" s="63" t="n">
        <f aca="false">PI()*POWER((S462/200),2)</f>
        <v>0</v>
      </c>
      <c r="AA462" s="63" t="n">
        <f aca="false">PI()*POWER((T462/200),2)</f>
        <v>0</v>
      </c>
      <c r="AB462" s="63" t="n">
        <f aca="false">PI()*POWER((U462/200),2)</f>
        <v>0</v>
      </c>
    </row>
    <row r="463" customFormat="false" ht="15" hidden="false" customHeight="false" outlineLevel="0" collapsed="false">
      <c r="A463" s="2" t="s">
        <v>20</v>
      </c>
      <c r="B463" s="2" t="n">
        <v>3</v>
      </c>
      <c r="C463" s="33" t="n">
        <v>46265</v>
      </c>
      <c r="D463" s="2" t="n">
        <v>2</v>
      </c>
      <c r="E463" s="2" t="s">
        <v>26</v>
      </c>
      <c r="F463" s="2" t="s">
        <v>27</v>
      </c>
      <c r="G463" s="2" t="s">
        <v>28</v>
      </c>
      <c r="H463" s="2" t="s">
        <v>95</v>
      </c>
      <c r="I463" s="2" t="s">
        <v>30</v>
      </c>
      <c r="J463" s="2" t="n">
        <v>48</v>
      </c>
      <c r="K463" s="32" t="s">
        <v>105</v>
      </c>
      <c r="L463" s="63" t="n">
        <f aca="false">SUM(V463:AB463)</f>
        <v>0.000254469004940773</v>
      </c>
      <c r="M463" s="63" t="n">
        <f aca="false">MAX(O463:U463)</f>
        <v>1.8</v>
      </c>
      <c r="N463" s="15" t="n">
        <f aca="false">COUNTIF(M463,"&gt;9.9")</f>
        <v>0</v>
      </c>
      <c r="O463" s="2" t="n">
        <v>1.8</v>
      </c>
      <c r="V463" s="63" t="n">
        <f aca="false">PI()*POWER((O463/200),2)</f>
        <v>0.000254469004940773</v>
      </c>
      <c r="W463" s="63" t="n">
        <f aca="false">PI()*POWER((P463/200),2)</f>
        <v>0</v>
      </c>
      <c r="X463" s="63" t="n">
        <f aca="false">PI()*POWER((Q463/200),2)</f>
        <v>0</v>
      </c>
      <c r="Y463" s="63" t="n">
        <f aca="false">PI()*POWER((R463/200),2)</f>
        <v>0</v>
      </c>
      <c r="Z463" s="63" t="n">
        <f aca="false">PI()*POWER((S463/200),2)</f>
        <v>0</v>
      </c>
      <c r="AA463" s="63" t="n">
        <f aca="false">PI()*POWER((T463/200),2)</f>
        <v>0</v>
      </c>
      <c r="AB463" s="63" t="n">
        <f aca="false">PI()*POWER((U463/200),2)</f>
        <v>0</v>
      </c>
    </row>
    <row r="464" customFormat="false" ht="15" hidden="false" customHeight="false" outlineLevel="0" collapsed="false">
      <c r="A464" s="2" t="s">
        <v>20</v>
      </c>
      <c r="B464" s="2" t="n">
        <v>3</v>
      </c>
      <c r="C464" s="33" t="n">
        <v>46265</v>
      </c>
      <c r="D464" s="2" t="n">
        <v>2</v>
      </c>
      <c r="E464" s="2" t="s">
        <v>26</v>
      </c>
      <c r="F464" s="2" t="s">
        <v>27</v>
      </c>
      <c r="G464" s="2" t="s">
        <v>28</v>
      </c>
      <c r="H464" s="2" t="s">
        <v>95</v>
      </c>
      <c r="I464" s="2" t="s">
        <v>30</v>
      </c>
      <c r="J464" s="2" t="n">
        <v>50</v>
      </c>
      <c r="K464" s="32" t="s">
        <v>105</v>
      </c>
      <c r="L464" s="63" t="n">
        <f aca="false">SUM(V464:AB464)</f>
        <v>0.000254469004940773</v>
      </c>
      <c r="M464" s="63" t="n">
        <f aca="false">MAX(O464:U464)</f>
        <v>1.8</v>
      </c>
      <c r="N464" s="15" t="n">
        <f aca="false">COUNTIF(M464,"&gt;9.9")</f>
        <v>0</v>
      </c>
      <c r="O464" s="2" t="n">
        <v>1.8</v>
      </c>
      <c r="V464" s="63" t="n">
        <f aca="false">PI()*POWER((O464/200),2)</f>
        <v>0.000254469004940773</v>
      </c>
      <c r="W464" s="63" t="n">
        <f aca="false">PI()*POWER((P464/200),2)</f>
        <v>0</v>
      </c>
      <c r="X464" s="63" t="n">
        <f aca="false">PI()*POWER((Q464/200),2)</f>
        <v>0</v>
      </c>
      <c r="Y464" s="63" t="n">
        <f aca="false">PI()*POWER((R464/200),2)</f>
        <v>0</v>
      </c>
      <c r="Z464" s="63" t="n">
        <f aca="false">PI()*POWER((S464/200),2)</f>
        <v>0</v>
      </c>
      <c r="AA464" s="63" t="n">
        <f aca="false">PI()*POWER((T464/200),2)</f>
        <v>0</v>
      </c>
      <c r="AB464" s="63" t="n">
        <f aca="false">PI()*POWER((U464/200),2)</f>
        <v>0</v>
      </c>
    </row>
    <row r="465" customFormat="false" ht="15" hidden="false" customHeight="false" outlineLevel="0" collapsed="false">
      <c r="A465" s="2" t="s">
        <v>20</v>
      </c>
      <c r="B465" s="2" t="n">
        <v>3</v>
      </c>
      <c r="C465" s="33" t="n">
        <v>46265</v>
      </c>
      <c r="D465" s="2" t="n">
        <v>2</v>
      </c>
      <c r="E465" s="2" t="s">
        <v>26</v>
      </c>
      <c r="F465" s="2" t="s">
        <v>27</v>
      </c>
      <c r="G465" s="2" t="s">
        <v>28</v>
      </c>
      <c r="H465" s="2" t="s">
        <v>95</v>
      </c>
      <c r="I465" s="2" t="s">
        <v>30</v>
      </c>
      <c r="J465" s="2" t="n">
        <v>53</v>
      </c>
      <c r="K465" s="32" t="s">
        <v>105</v>
      </c>
      <c r="L465" s="63" t="n">
        <f aca="false">SUM(V465:AB465)</f>
        <v>0.000314159265358979</v>
      </c>
      <c r="M465" s="63" t="n">
        <f aca="false">MAX(O465:U465)</f>
        <v>2</v>
      </c>
      <c r="N465" s="15" t="n">
        <f aca="false">COUNTIF(M465,"&gt;9.9")</f>
        <v>0</v>
      </c>
      <c r="O465" s="2" t="n">
        <v>2</v>
      </c>
      <c r="V465" s="63" t="n">
        <f aca="false">PI()*POWER((O465/200),2)</f>
        <v>0.000314159265358979</v>
      </c>
      <c r="W465" s="63" t="n">
        <f aca="false">PI()*POWER((P465/200),2)</f>
        <v>0</v>
      </c>
      <c r="X465" s="63" t="n">
        <f aca="false">PI()*POWER((Q465/200),2)</f>
        <v>0</v>
      </c>
      <c r="Y465" s="63" t="n">
        <f aca="false">PI()*POWER((R465/200),2)</f>
        <v>0</v>
      </c>
      <c r="Z465" s="63" t="n">
        <f aca="false">PI()*POWER((S465/200),2)</f>
        <v>0</v>
      </c>
      <c r="AA465" s="63" t="n">
        <f aca="false">PI()*POWER((T465/200),2)</f>
        <v>0</v>
      </c>
      <c r="AB465" s="63" t="n">
        <f aca="false">PI()*POWER((U465/200),2)</f>
        <v>0</v>
      </c>
    </row>
    <row r="466" customFormat="false" ht="15" hidden="false" customHeight="false" outlineLevel="0" collapsed="false">
      <c r="A466" s="2" t="s">
        <v>20</v>
      </c>
      <c r="B466" s="2" t="n">
        <v>3</v>
      </c>
      <c r="C466" s="33" t="n">
        <v>46265</v>
      </c>
      <c r="D466" s="2" t="n">
        <v>2</v>
      </c>
      <c r="E466" s="2" t="s">
        <v>26</v>
      </c>
      <c r="F466" s="2" t="s">
        <v>27</v>
      </c>
      <c r="G466" s="2" t="s">
        <v>28</v>
      </c>
      <c r="H466" s="2" t="s">
        <v>95</v>
      </c>
      <c r="I466" s="2" t="s">
        <v>30</v>
      </c>
      <c r="J466" s="2" t="n">
        <v>57</v>
      </c>
      <c r="K466" s="32" t="s">
        <v>105</v>
      </c>
      <c r="L466" s="63" t="n">
        <f aca="false">SUM(V466:AB466)</f>
        <v>0.000314159265358979</v>
      </c>
      <c r="M466" s="63" t="n">
        <f aca="false">MAX(O466:U466)</f>
        <v>2</v>
      </c>
      <c r="N466" s="15" t="n">
        <f aca="false">COUNTIF(M466,"&gt;9.9")</f>
        <v>0</v>
      </c>
      <c r="O466" s="2" t="n">
        <v>2</v>
      </c>
      <c r="V466" s="63" t="n">
        <f aca="false">PI()*POWER((O466/200),2)</f>
        <v>0.000314159265358979</v>
      </c>
      <c r="W466" s="63" t="n">
        <f aca="false">PI()*POWER((P466/200),2)</f>
        <v>0</v>
      </c>
      <c r="X466" s="63" t="n">
        <f aca="false">PI()*POWER((Q466/200),2)</f>
        <v>0</v>
      </c>
      <c r="Y466" s="63" t="n">
        <f aca="false">PI()*POWER((R466/200),2)</f>
        <v>0</v>
      </c>
      <c r="Z466" s="63" t="n">
        <f aca="false">PI()*POWER((S466/200),2)</f>
        <v>0</v>
      </c>
      <c r="AA466" s="63" t="n">
        <f aca="false">PI()*POWER((T466/200),2)</f>
        <v>0</v>
      </c>
      <c r="AB466" s="63" t="n">
        <f aca="false">PI()*POWER((U466/200),2)</f>
        <v>0</v>
      </c>
    </row>
    <row r="467" customFormat="false" ht="15" hidden="false" customHeight="false" outlineLevel="0" collapsed="false">
      <c r="A467" s="2" t="s">
        <v>20</v>
      </c>
      <c r="B467" s="2" t="n">
        <v>3</v>
      </c>
      <c r="C467" s="33" t="n">
        <v>46265</v>
      </c>
      <c r="D467" s="2" t="n">
        <v>2</v>
      </c>
      <c r="E467" s="2" t="s">
        <v>26</v>
      </c>
      <c r="F467" s="2" t="s">
        <v>27</v>
      </c>
      <c r="G467" s="2" t="s">
        <v>28</v>
      </c>
      <c r="H467" s="2" t="s">
        <v>95</v>
      </c>
      <c r="I467" s="2" t="s">
        <v>30</v>
      </c>
      <c r="J467" s="2" t="n">
        <v>129</v>
      </c>
      <c r="K467" s="32" t="s">
        <v>105</v>
      </c>
      <c r="L467" s="63" t="n">
        <f aca="false">SUM(V467:AB467)</f>
        <v>0.000380132711084365</v>
      </c>
      <c r="M467" s="63" t="n">
        <f aca="false">MAX(O467:U467)</f>
        <v>2.2</v>
      </c>
      <c r="N467" s="15" t="n">
        <f aca="false">COUNTIF(M467,"&gt;9.9")</f>
        <v>0</v>
      </c>
      <c r="O467" s="2" t="n">
        <v>2.2</v>
      </c>
      <c r="V467" s="63" t="n">
        <f aca="false">PI()*POWER((O467/200),2)</f>
        <v>0.000380132711084365</v>
      </c>
      <c r="W467" s="63" t="n">
        <f aca="false">PI()*POWER((P467/200),2)</f>
        <v>0</v>
      </c>
      <c r="X467" s="63" t="n">
        <f aca="false">PI()*POWER((Q467/200),2)</f>
        <v>0</v>
      </c>
      <c r="Y467" s="63" t="n">
        <f aca="false">PI()*POWER((R467/200),2)</f>
        <v>0</v>
      </c>
      <c r="Z467" s="63" t="n">
        <f aca="false">PI()*POWER((S467/200),2)</f>
        <v>0</v>
      </c>
      <c r="AA467" s="63" t="n">
        <f aca="false">PI()*POWER((T467/200),2)</f>
        <v>0</v>
      </c>
      <c r="AB467" s="63" t="n">
        <f aca="false">PI()*POWER((U467/200),2)</f>
        <v>0</v>
      </c>
    </row>
    <row r="468" customFormat="false" ht="15" hidden="false" customHeight="false" outlineLevel="0" collapsed="false">
      <c r="A468" s="2" t="s">
        <v>20</v>
      </c>
      <c r="B468" s="2" t="n">
        <v>3</v>
      </c>
      <c r="C468" s="33" t="n">
        <v>46265</v>
      </c>
      <c r="D468" s="2" t="n">
        <v>2</v>
      </c>
      <c r="E468" s="2" t="s">
        <v>26</v>
      </c>
      <c r="F468" s="2" t="s">
        <v>27</v>
      </c>
      <c r="G468" s="2" t="s">
        <v>28</v>
      </c>
      <c r="H468" s="2" t="s">
        <v>95</v>
      </c>
      <c r="I468" s="2" t="s">
        <v>30</v>
      </c>
      <c r="J468" s="2" t="n">
        <v>149</v>
      </c>
      <c r="K468" s="32" t="s">
        <v>105</v>
      </c>
      <c r="L468" s="63" t="n">
        <f aca="false">SUM(V468:AB468)</f>
        <v>0.000380132711084365</v>
      </c>
      <c r="M468" s="63" t="n">
        <f aca="false">MAX(O468:U468)</f>
        <v>2.2</v>
      </c>
      <c r="N468" s="15" t="n">
        <f aca="false">COUNTIF(M468,"&gt;9.9")</f>
        <v>0</v>
      </c>
      <c r="O468" s="2" t="n">
        <v>2.2</v>
      </c>
      <c r="V468" s="63" t="n">
        <f aca="false">PI()*POWER((O468/200),2)</f>
        <v>0.000380132711084365</v>
      </c>
      <c r="W468" s="63" t="n">
        <f aca="false">PI()*POWER((P468/200),2)</f>
        <v>0</v>
      </c>
      <c r="X468" s="63" t="n">
        <f aca="false">PI()*POWER((Q468/200),2)</f>
        <v>0</v>
      </c>
      <c r="Y468" s="63" t="n">
        <f aca="false">PI()*POWER((R468/200),2)</f>
        <v>0</v>
      </c>
      <c r="Z468" s="63" t="n">
        <f aca="false">PI()*POWER((S468/200),2)</f>
        <v>0</v>
      </c>
      <c r="AA468" s="63" t="n">
        <f aca="false">PI()*POWER((T468/200),2)</f>
        <v>0</v>
      </c>
      <c r="AB468" s="63" t="n">
        <f aca="false">PI()*POWER((U468/200),2)</f>
        <v>0</v>
      </c>
    </row>
    <row r="469" customFormat="false" ht="15" hidden="false" customHeight="false" outlineLevel="0" collapsed="false">
      <c r="A469" s="2" t="s">
        <v>20</v>
      </c>
      <c r="B469" s="2" t="n">
        <v>3</v>
      </c>
      <c r="C469" s="33" t="n">
        <v>46265</v>
      </c>
      <c r="D469" s="2" t="n">
        <v>2</v>
      </c>
      <c r="E469" s="2" t="s">
        <v>26</v>
      </c>
      <c r="F469" s="2" t="s">
        <v>27</v>
      </c>
      <c r="G469" s="2" t="s">
        <v>28</v>
      </c>
      <c r="H469" s="2" t="s">
        <v>95</v>
      </c>
      <c r="I469" s="2" t="s">
        <v>30</v>
      </c>
      <c r="J469" s="2" t="n">
        <v>96</v>
      </c>
      <c r="K469" s="32" t="s">
        <v>105</v>
      </c>
      <c r="L469" s="63" t="n">
        <f aca="false">SUM(V469:AB469)</f>
        <v>0.00041547562843725</v>
      </c>
      <c r="M469" s="63" t="n">
        <f aca="false">MAX(O469:U469)</f>
        <v>2.3</v>
      </c>
      <c r="N469" s="15" t="n">
        <f aca="false">COUNTIF(M469,"&gt;9.9")</f>
        <v>0</v>
      </c>
      <c r="O469" s="2" t="n">
        <v>2.3</v>
      </c>
      <c r="V469" s="63" t="n">
        <f aca="false">PI()*POWER((O469/200),2)</f>
        <v>0.00041547562843725</v>
      </c>
      <c r="W469" s="63" t="n">
        <f aca="false">PI()*POWER((P469/200),2)</f>
        <v>0</v>
      </c>
      <c r="X469" s="63" t="n">
        <f aca="false">PI()*POWER((Q469/200),2)</f>
        <v>0</v>
      </c>
      <c r="Y469" s="63" t="n">
        <f aca="false">PI()*POWER((R469/200),2)</f>
        <v>0</v>
      </c>
      <c r="Z469" s="63" t="n">
        <f aca="false">PI()*POWER((S469/200),2)</f>
        <v>0</v>
      </c>
      <c r="AA469" s="63" t="n">
        <f aca="false">PI()*POWER((T469/200),2)</f>
        <v>0</v>
      </c>
      <c r="AB469" s="63" t="n">
        <f aca="false">PI()*POWER((U469/200),2)</f>
        <v>0</v>
      </c>
    </row>
    <row r="470" customFormat="false" ht="15" hidden="false" customHeight="false" outlineLevel="0" collapsed="false">
      <c r="A470" s="2" t="s">
        <v>20</v>
      </c>
      <c r="B470" s="2" t="n">
        <v>3</v>
      </c>
      <c r="C470" s="33" t="n">
        <v>46265</v>
      </c>
      <c r="D470" s="2" t="n">
        <v>2</v>
      </c>
      <c r="E470" s="2" t="s">
        <v>26</v>
      </c>
      <c r="F470" s="2" t="s">
        <v>27</v>
      </c>
      <c r="G470" s="2" t="s">
        <v>28</v>
      </c>
      <c r="H470" s="2" t="s">
        <v>95</v>
      </c>
      <c r="I470" s="2" t="s">
        <v>30</v>
      </c>
      <c r="J470" s="2" t="n">
        <v>118</v>
      </c>
      <c r="K470" s="32" t="s">
        <v>105</v>
      </c>
      <c r="L470" s="63" t="n">
        <f aca="false">SUM(V470:AB470)</f>
        <v>0.00041547562843725</v>
      </c>
      <c r="M470" s="63" t="n">
        <f aca="false">MAX(O470:U470)</f>
        <v>2.3</v>
      </c>
      <c r="N470" s="15" t="n">
        <f aca="false">COUNTIF(M470,"&gt;9.9")</f>
        <v>0</v>
      </c>
      <c r="O470" s="2" t="n">
        <v>2.3</v>
      </c>
      <c r="V470" s="63" t="n">
        <f aca="false">PI()*POWER((O470/200),2)</f>
        <v>0.00041547562843725</v>
      </c>
      <c r="W470" s="63" t="n">
        <f aca="false">PI()*POWER((P470/200),2)</f>
        <v>0</v>
      </c>
      <c r="X470" s="63" t="n">
        <f aca="false">PI()*POWER((Q470/200),2)</f>
        <v>0</v>
      </c>
      <c r="Y470" s="63" t="n">
        <f aca="false">PI()*POWER((R470/200),2)</f>
        <v>0</v>
      </c>
      <c r="Z470" s="63" t="n">
        <f aca="false">PI()*POWER((S470/200),2)</f>
        <v>0</v>
      </c>
      <c r="AA470" s="63" t="n">
        <f aca="false">PI()*POWER((T470/200),2)</f>
        <v>0</v>
      </c>
      <c r="AB470" s="63" t="n">
        <f aca="false">PI()*POWER((U470/200),2)</f>
        <v>0</v>
      </c>
    </row>
    <row r="471" customFormat="false" ht="15" hidden="false" customHeight="false" outlineLevel="0" collapsed="false">
      <c r="A471" s="2" t="s">
        <v>20</v>
      </c>
      <c r="B471" s="2" t="n">
        <v>3</v>
      </c>
      <c r="C471" s="33" t="n">
        <v>46265</v>
      </c>
      <c r="D471" s="2" t="n">
        <v>2</v>
      </c>
      <c r="E471" s="2" t="s">
        <v>26</v>
      </c>
      <c r="F471" s="2" t="s">
        <v>27</v>
      </c>
      <c r="G471" s="2" t="s">
        <v>28</v>
      </c>
      <c r="H471" s="2" t="s">
        <v>95</v>
      </c>
      <c r="I471" s="2" t="s">
        <v>30</v>
      </c>
      <c r="J471" s="2" t="n">
        <v>52</v>
      </c>
      <c r="K471" s="32" t="s">
        <v>105</v>
      </c>
      <c r="L471" s="63" t="n">
        <f aca="false">SUM(V471:AB471)</f>
        <v>0.00045238934211693</v>
      </c>
      <c r="M471" s="63" t="n">
        <f aca="false">MAX(O471:U471)</f>
        <v>2.4</v>
      </c>
      <c r="N471" s="15" t="n">
        <f aca="false">COUNTIF(M471,"&gt;9.9")</f>
        <v>0</v>
      </c>
      <c r="O471" s="2" t="n">
        <v>2.4</v>
      </c>
      <c r="V471" s="63" t="n">
        <f aca="false">PI()*POWER((O471/200),2)</f>
        <v>0.00045238934211693</v>
      </c>
      <c r="W471" s="63" t="n">
        <f aca="false">PI()*POWER((P471/200),2)</f>
        <v>0</v>
      </c>
      <c r="X471" s="63" t="n">
        <f aca="false">PI()*POWER((Q471/200),2)</f>
        <v>0</v>
      </c>
      <c r="Y471" s="63" t="n">
        <f aca="false">PI()*POWER((R471/200),2)</f>
        <v>0</v>
      </c>
      <c r="Z471" s="63" t="n">
        <f aca="false">PI()*POWER((S471/200),2)</f>
        <v>0</v>
      </c>
      <c r="AA471" s="63" t="n">
        <f aca="false">PI()*POWER((T471/200),2)</f>
        <v>0</v>
      </c>
      <c r="AB471" s="63" t="n">
        <f aca="false">PI()*POWER((U471/200),2)</f>
        <v>0</v>
      </c>
    </row>
    <row r="472" customFormat="false" ht="15" hidden="false" customHeight="false" outlineLevel="0" collapsed="false">
      <c r="A472" s="2" t="s">
        <v>20</v>
      </c>
      <c r="B472" s="2" t="n">
        <v>3</v>
      </c>
      <c r="C472" s="33" t="n">
        <v>46265</v>
      </c>
      <c r="D472" s="2" t="n">
        <v>2</v>
      </c>
      <c r="E472" s="2" t="s">
        <v>26</v>
      </c>
      <c r="F472" s="2" t="s">
        <v>27</v>
      </c>
      <c r="G472" s="2" t="s">
        <v>28</v>
      </c>
      <c r="H472" s="2" t="s">
        <v>95</v>
      </c>
      <c r="I472" s="2" t="s">
        <v>30</v>
      </c>
      <c r="J472" s="2" t="n">
        <v>136</v>
      </c>
      <c r="K472" s="32" t="s">
        <v>105</v>
      </c>
      <c r="L472" s="63" t="n">
        <f aca="false">SUM(V472:AB472)</f>
        <v>0.000490873852123405</v>
      </c>
      <c r="M472" s="63" t="n">
        <f aca="false">MAX(O472:U472)</f>
        <v>2.5</v>
      </c>
      <c r="N472" s="15" t="n">
        <f aca="false">COUNTIF(M472,"&gt;9.9")</f>
        <v>0</v>
      </c>
      <c r="O472" s="2" t="n">
        <v>2.5</v>
      </c>
      <c r="V472" s="63" t="n">
        <f aca="false">PI()*POWER((O472/200),2)</f>
        <v>0.000490873852123405</v>
      </c>
      <c r="W472" s="63" t="n">
        <f aca="false">PI()*POWER((P472/200),2)</f>
        <v>0</v>
      </c>
      <c r="X472" s="63" t="n">
        <f aca="false">PI()*POWER((Q472/200),2)</f>
        <v>0</v>
      </c>
      <c r="Y472" s="63" t="n">
        <f aca="false">PI()*POWER((R472/200),2)</f>
        <v>0</v>
      </c>
      <c r="Z472" s="63" t="n">
        <f aca="false">PI()*POWER((S472/200),2)</f>
        <v>0</v>
      </c>
      <c r="AA472" s="63" t="n">
        <f aca="false">PI()*POWER((T472/200),2)</f>
        <v>0</v>
      </c>
      <c r="AB472" s="63" t="n">
        <f aca="false">PI()*POWER((U472/200),2)</f>
        <v>0</v>
      </c>
    </row>
    <row r="473" customFormat="false" ht="15" hidden="false" customHeight="false" outlineLevel="0" collapsed="false">
      <c r="A473" s="2" t="s">
        <v>20</v>
      </c>
      <c r="B473" s="2" t="n">
        <v>3</v>
      </c>
      <c r="C473" s="33" t="n">
        <v>46265</v>
      </c>
      <c r="D473" s="2" t="n">
        <v>2</v>
      </c>
      <c r="E473" s="2" t="s">
        <v>26</v>
      </c>
      <c r="F473" s="2" t="s">
        <v>27</v>
      </c>
      <c r="G473" s="2" t="s">
        <v>28</v>
      </c>
      <c r="H473" s="2" t="s">
        <v>95</v>
      </c>
      <c r="I473" s="2" t="s">
        <v>30</v>
      </c>
      <c r="J473" s="2" t="n">
        <v>69</v>
      </c>
      <c r="K473" s="32" t="s">
        <v>105</v>
      </c>
      <c r="L473" s="63" t="n">
        <f aca="false">SUM(V473:AB473)</f>
        <v>0.000530929158456675</v>
      </c>
      <c r="M473" s="63" t="n">
        <f aca="false">MAX(O473:U473)</f>
        <v>2.6</v>
      </c>
      <c r="N473" s="15" t="n">
        <f aca="false">COUNTIF(M473,"&gt;9.9")</f>
        <v>0</v>
      </c>
      <c r="O473" s="2" t="n">
        <v>2.6</v>
      </c>
      <c r="V473" s="63" t="n">
        <f aca="false">PI()*POWER((O473/200),2)</f>
        <v>0.000530929158456675</v>
      </c>
      <c r="W473" s="63" t="n">
        <f aca="false">PI()*POWER((P473/200),2)</f>
        <v>0</v>
      </c>
      <c r="X473" s="63" t="n">
        <f aca="false">PI()*POWER((Q473/200),2)</f>
        <v>0</v>
      </c>
      <c r="Y473" s="63" t="n">
        <f aca="false">PI()*POWER((R473/200),2)</f>
        <v>0</v>
      </c>
      <c r="Z473" s="63" t="n">
        <f aca="false">PI()*POWER((S473/200),2)</f>
        <v>0</v>
      </c>
      <c r="AA473" s="63" t="n">
        <f aca="false">PI()*POWER((T473/200),2)</f>
        <v>0</v>
      </c>
      <c r="AB473" s="63" t="n">
        <f aca="false">PI()*POWER((U473/200),2)</f>
        <v>0</v>
      </c>
    </row>
    <row r="474" customFormat="false" ht="15" hidden="false" customHeight="false" outlineLevel="0" collapsed="false">
      <c r="A474" s="2" t="s">
        <v>20</v>
      </c>
      <c r="B474" s="2" t="n">
        <v>3</v>
      </c>
      <c r="C474" s="33" t="n">
        <v>46265</v>
      </c>
      <c r="D474" s="2" t="n">
        <v>2</v>
      </c>
      <c r="E474" s="2" t="s">
        <v>26</v>
      </c>
      <c r="F474" s="2" t="s">
        <v>27</v>
      </c>
      <c r="G474" s="2" t="s">
        <v>28</v>
      </c>
      <c r="H474" s="2" t="s">
        <v>95</v>
      </c>
      <c r="I474" s="2" t="s">
        <v>30</v>
      </c>
      <c r="J474" s="2" t="n">
        <v>110</v>
      </c>
      <c r="K474" s="32" t="s">
        <v>105</v>
      </c>
      <c r="L474" s="63" t="n">
        <f aca="false">SUM(V474:AB474)</f>
        <v>0.00057255526111674</v>
      </c>
      <c r="M474" s="63" t="n">
        <f aca="false">MAX(O474:U474)</f>
        <v>2.7</v>
      </c>
      <c r="N474" s="15" t="n">
        <f aca="false">COUNTIF(M474,"&gt;9.9")</f>
        <v>0</v>
      </c>
      <c r="O474" s="2" t="n">
        <v>2.7</v>
      </c>
      <c r="V474" s="63" t="n">
        <f aca="false">PI()*POWER((O474/200),2)</f>
        <v>0.00057255526111674</v>
      </c>
      <c r="W474" s="63" t="n">
        <f aca="false">PI()*POWER((P474/200),2)</f>
        <v>0</v>
      </c>
      <c r="X474" s="63" t="n">
        <f aca="false">PI()*POWER((Q474/200),2)</f>
        <v>0</v>
      </c>
      <c r="Y474" s="63" t="n">
        <f aca="false">PI()*POWER((R474/200),2)</f>
        <v>0</v>
      </c>
      <c r="Z474" s="63" t="n">
        <f aca="false">PI()*POWER((S474/200),2)</f>
        <v>0</v>
      </c>
      <c r="AA474" s="63" t="n">
        <f aca="false">PI()*POWER((T474/200),2)</f>
        <v>0</v>
      </c>
      <c r="AB474" s="63" t="n">
        <f aca="false">PI()*POWER((U474/200),2)</f>
        <v>0</v>
      </c>
    </row>
    <row r="475" customFormat="false" ht="15" hidden="false" customHeight="false" outlineLevel="0" collapsed="false">
      <c r="A475" s="2" t="s">
        <v>20</v>
      </c>
      <c r="B475" s="2" t="n">
        <v>3</v>
      </c>
      <c r="C475" s="33" t="n">
        <v>46265</v>
      </c>
      <c r="D475" s="2" t="n">
        <v>2</v>
      </c>
      <c r="E475" s="2" t="s">
        <v>26</v>
      </c>
      <c r="F475" s="2" t="s">
        <v>27</v>
      </c>
      <c r="G475" s="2" t="s">
        <v>28</v>
      </c>
      <c r="H475" s="2" t="s">
        <v>95</v>
      </c>
      <c r="I475" s="2" t="s">
        <v>30</v>
      </c>
      <c r="J475" s="2" t="n">
        <v>122</v>
      </c>
      <c r="K475" s="32" t="s">
        <v>105</v>
      </c>
      <c r="L475" s="63" t="n">
        <f aca="false">SUM(V475:AB475)</f>
        <v>0.00057255526111674</v>
      </c>
      <c r="M475" s="63" t="n">
        <f aca="false">MAX(O475:U475)</f>
        <v>2.7</v>
      </c>
      <c r="N475" s="15" t="n">
        <f aca="false">COUNTIF(M475,"&gt;9.9")</f>
        <v>0</v>
      </c>
      <c r="O475" s="2" t="n">
        <v>2.7</v>
      </c>
      <c r="V475" s="63" t="n">
        <f aca="false">PI()*POWER((O475/200),2)</f>
        <v>0.00057255526111674</v>
      </c>
      <c r="W475" s="63" t="n">
        <f aca="false">PI()*POWER((P475/200),2)</f>
        <v>0</v>
      </c>
      <c r="X475" s="63" t="n">
        <f aca="false">PI()*POWER((Q475/200),2)</f>
        <v>0</v>
      </c>
      <c r="Y475" s="63" t="n">
        <f aca="false">PI()*POWER((R475/200),2)</f>
        <v>0</v>
      </c>
      <c r="Z475" s="63" t="n">
        <f aca="false">PI()*POWER((S475/200),2)</f>
        <v>0</v>
      </c>
      <c r="AA475" s="63" t="n">
        <f aca="false">PI()*POWER((T475/200),2)</f>
        <v>0</v>
      </c>
      <c r="AB475" s="63" t="n">
        <f aca="false">PI()*POWER((U475/200),2)</f>
        <v>0</v>
      </c>
    </row>
    <row r="476" customFormat="false" ht="15" hidden="false" customHeight="false" outlineLevel="0" collapsed="false">
      <c r="A476" s="2" t="s">
        <v>20</v>
      </c>
      <c r="B476" s="2" t="n">
        <v>3</v>
      </c>
      <c r="C476" s="33" t="n">
        <v>46265</v>
      </c>
      <c r="D476" s="2" t="n">
        <v>2</v>
      </c>
      <c r="E476" s="2" t="s">
        <v>26</v>
      </c>
      <c r="F476" s="2" t="s">
        <v>27</v>
      </c>
      <c r="G476" s="2" t="s">
        <v>28</v>
      </c>
      <c r="H476" s="2" t="s">
        <v>95</v>
      </c>
      <c r="I476" s="2" t="s">
        <v>30</v>
      </c>
      <c r="J476" s="2" t="n">
        <v>30</v>
      </c>
      <c r="K476" s="32" t="s">
        <v>105</v>
      </c>
      <c r="L476" s="63" t="n">
        <f aca="false">SUM(V476:AB476)</f>
        <v>0.000706858347057703</v>
      </c>
      <c r="M476" s="63" t="n">
        <f aca="false">MAX(O476:U476)</f>
        <v>3</v>
      </c>
      <c r="N476" s="15" t="n">
        <f aca="false">COUNTIF(M476,"&gt;9.9")</f>
        <v>0</v>
      </c>
      <c r="O476" s="2" t="n">
        <v>3</v>
      </c>
      <c r="V476" s="63" t="n">
        <f aca="false">PI()*POWER((O476/200),2)</f>
        <v>0.000706858347057703</v>
      </c>
      <c r="W476" s="63" t="n">
        <f aca="false">PI()*POWER((P476/200),2)</f>
        <v>0</v>
      </c>
      <c r="X476" s="63" t="n">
        <f aca="false">PI()*POWER((Q476/200),2)</f>
        <v>0</v>
      </c>
      <c r="Y476" s="63" t="n">
        <f aca="false">PI()*POWER((R476/200),2)</f>
        <v>0</v>
      </c>
      <c r="Z476" s="63" t="n">
        <f aca="false">PI()*POWER((S476/200),2)</f>
        <v>0</v>
      </c>
      <c r="AA476" s="63" t="n">
        <f aca="false">PI()*POWER((T476/200),2)</f>
        <v>0</v>
      </c>
      <c r="AB476" s="63" t="n">
        <f aca="false">PI()*POWER((U476/200),2)</f>
        <v>0</v>
      </c>
    </row>
    <row r="477" customFormat="false" ht="15" hidden="false" customHeight="false" outlineLevel="0" collapsed="false">
      <c r="A477" s="2" t="s">
        <v>20</v>
      </c>
      <c r="B477" s="2" t="n">
        <v>3</v>
      </c>
      <c r="C477" s="33" t="n">
        <v>46265</v>
      </c>
      <c r="D477" s="2" t="n">
        <v>2</v>
      </c>
      <c r="E477" s="2" t="s">
        <v>26</v>
      </c>
      <c r="F477" s="2" t="s">
        <v>27</v>
      </c>
      <c r="G477" s="2" t="s">
        <v>28</v>
      </c>
      <c r="H477" s="2" t="s">
        <v>95</v>
      </c>
      <c r="I477" s="2" t="s">
        <v>30</v>
      </c>
      <c r="J477" s="2" t="n">
        <v>42</v>
      </c>
      <c r="K477" s="32" t="s">
        <v>105</v>
      </c>
      <c r="L477" s="63" t="n">
        <f aca="false">SUM(V477:AB477)</f>
        <v>0.000706858347057703</v>
      </c>
      <c r="M477" s="63" t="n">
        <f aca="false">MAX(O477:U477)</f>
        <v>3</v>
      </c>
      <c r="N477" s="15" t="n">
        <f aca="false">COUNTIF(M477,"&gt;9.9")</f>
        <v>0</v>
      </c>
      <c r="O477" s="2" t="n">
        <v>3</v>
      </c>
      <c r="V477" s="63" t="n">
        <f aca="false">PI()*POWER((O477/200),2)</f>
        <v>0.000706858347057703</v>
      </c>
      <c r="W477" s="63" t="n">
        <f aca="false">PI()*POWER((P477/200),2)</f>
        <v>0</v>
      </c>
      <c r="X477" s="63" t="n">
        <f aca="false">PI()*POWER((Q477/200),2)</f>
        <v>0</v>
      </c>
      <c r="Y477" s="63" t="n">
        <f aca="false">PI()*POWER((R477/200),2)</f>
        <v>0</v>
      </c>
      <c r="Z477" s="63" t="n">
        <f aca="false">PI()*POWER((S477/200),2)</f>
        <v>0</v>
      </c>
      <c r="AA477" s="63" t="n">
        <f aca="false">PI()*POWER((T477/200),2)</f>
        <v>0</v>
      </c>
      <c r="AB477" s="63" t="n">
        <f aca="false">PI()*POWER((U477/200),2)</f>
        <v>0</v>
      </c>
    </row>
    <row r="478" customFormat="false" ht="15" hidden="false" customHeight="false" outlineLevel="0" collapsed="false">
      <c r="A478" s="2" t="s">
        <v>20</v>
      </c>
      <c r="B478" s="2" t="n">
        <v>3</v>
      </c>
      <c r="C478" s="33" t="n">
        <v>46265</v>
      </c>
      <c r="D478" s="2" t="n">
        <v>2</v>
      </c>
      <c r="E478" s="2" t="s">
        <v>26</v>
      </c>
      <c r="F478" s="2" t="s">
        <v>27</v>
      </c>
      <c r="G478" s="2" t="s">
        <v>28</v>
      </c>
      <c r="H478" s="2" t="s">
        <v>95</v>
      </c>
      <c r="I478" s="2" t="s">
        <v>30</v>
      </c>
      <c r="J478" s="2" t="n">
        <v>119</v>
      </c>
      <c r="K478" s="32" t="s">
        <v>105</v>
      </c>
      <c r="L478" s="63" t="n">
        <f aca="false">SUM(V478:AB478)</f>
        <v>0.000706858347057703</v>
      </c>
      <c r="M478" s="63" t="n">
        <f aca="false">MAX(O478:U478)</f>
        <v>3</v>
      </c>
      <c r="N478" s="15" t="n">
        <f aca="false">COUNTIF(M478,"&gt;9.9")</f>
        <v>0</v>
      </c>
      <c r="O478" s="2" t="n">
        <v>3</v>
      </c>
      <c r="V478" s="63" t="n">
        <f aca="false">PI()*POWER((O478/200),2)</f>
        <v>0.000706858347057703</v>
      </c>
      <c r="W478" s="63" t="n">
        <f aca="false">PI()*POWER((P478/200),2)</f>
        <v>0</v>
      </c>
      <c r="X478" s="63" t="n">
        <f aca="false">PI()*POWER((Q478/200),2)</f>
        <v>0</v>
      </c>
      <c r="Y478" s="63" t="n">
        <f aca="false">PI()*POWER((R478/200),2)</f>
        <v>0</v>
      </c>
      <c r="Z478" s="63" t="n">
        <f aca="false">PI()*POWER((S478/200),2)</f>
        <v>0</v>
      </c>
      <c r="AA478" s="63" t="n">
        <f aca="false">PI()*POWER((T478/200),2)</f>
        <v>0</v>
      </c>
      <c r="AB478" s="63" t="n">
        <f aca="false">PI()*POWER((U478/200),2)</f>
        <v>0</v>
      </c>
    </row>
    <row r="479" customFormat="false" ht="15" hidden="false" customHeight="false" outlineLevel="0" collapsed="false">
      <c r="A479" s="2" t="s">
        <v>20</v>
      </c>
      <c r="B479" s="2" t="n">
        <v>3</v>
      </c>
      <c r="C479" s="33" t="n">
        <v>46265</v>
      </c>
      <c r="D479" s="2" t="n">
        <v>2</v>
      </c>
      <c r="E479" s="2" t="s">
        <v>26</v>
      </c>
      <c r="F479" s="2" t="s">
        <v>27</v>
      </c>
      <c r="G479" s="2" t="s">
        <v>28</v>
      </c>
      <c r="H479" s="2" t="s">
        <v>95</v>
      </c>
      <c r="I479" s="2" t="s">
        <v>30</v>
      </c>
      <c r="J479" s="2" t="n">
        <v>56</v>
      </c>
      <c r="K479" s="32" t="s">
        <v>105</v>
      </c>
      <c r="L479" s="63" t="n">
        <f aca="false">SUM(V479:AB479)</f>
        <v>0.000855298599939821</v>
      </c>
      <c r="M479" s="63" t="n">
        <f aca="false">MAX(O479:U479)</f>
        <v>3.3</v>
      </c>
      <c r="N479" s="15" t="n">
        <f aca="false">COUNTIF(M479,"&gt;9.9")</f>
        <v>0</v>
      </c>
      <c r="O479" s="2" t="n">
        <v>3.3</v>
      </c>
      <c r="V479" s="63" t="n">
        <f aca="false">PI()*POWER((O479/200),2)</f>
        <v>0.000855298599939821</v>
      </c>
      <c r="W479" s="63" t="n">
        <f aca="false">PI()*POWER((P479/200),2)</f>
        <v>0</v>
      </c>
      <c r="X479" s="63" t="n">
        <f aca="false">PI()*POWER((Q479/200),2)</f>
        <v>0</v>
      </c>
      <c r="Y479" s="63" t="n">
        <f aca="false">PI()*POWER((R479/200),2)</f>
        <v>0</v>
      </c>
      <c r="Z479" s="63" t="n">
        <f aca="false">PI()*POWER((S479/200),2)</f>
        <v>0</v>
      </c>
      <c r="AA479" s="63" t="n">
        <f aca="false">PI()*POWER((T479/200),2)</f>
        <v>0</v>
      </c>
      <c r="AB479" s="63" t="n">
        <f aca="false">PI()*POWER((U479/200),2)</f>
        <v>0</v>
      </c>
    </row>
    <row r="480" customFormat="false" ht="15" hidden="false" customHeight="false" outlineLevel="0" collapsed="false">
      <c r="A480" s="2" t="s">
        <v>20</v>
      </c>
      <c r="B480" s="2" t="n">
        <v>3</v>
      </c>
      <c r="C480" s="33" t="n">
        <v>46265</v>
      </c>
      <c r="D480" s="2" t="n">
        <v>2</v>
      </c>
      <c r="E480" s="2" t="s">
        <v>26</v>
      </c>
      <c r="F480" s="2" t="s">
        <v>27</v>
      </c>
      <c r="G480" s="2" t="s">
        <v>28</v>
      </c>
      <c r="H480" s="2" t="s">
        <v>95</v>
      </c>
      <c r="I480" s="2" t="s">
        <v>30</v>
      </c>
      <c r="J480" s="2" t="n">
        <v>27</v>
      </c>
      <c r="K480" s="32" t="s">
        <v>105</v>
      </c>
      <c r="L480" s="63" t="n">
        <f aca="false">SUM(V480:AB480)</f>
        <v>0.00101787601976309</v>
      </c>
      <c r="M480" s="63" t="n">
        <f aca="false">MAX(O480:U480)</f>
        <v>3.6</v>
      </c>
      <c r="N480" s="15" t="n">
        <f aca="false">COUNTIF(M480,"&gt;9.9")</f>
        <v>0</v>
      </c>
      <c r="O480" s="2" t="n">
        <v>3.6</v>
      </c>
      <c r="V480" s="63" t="n">
        <f aca="false">PI()*POWER((O480/200),2)</f>
        <v>0.00101787601976309</v>
      </c>
      <c r="W480" s="63" t="n">
        <f aca="false">PI()*POWER((P480/200),2)</f>
        <v>0</v>
      </c>
      <c r="X480" s="63" t="n">
        <f aca="false">PI()*POWER((Q480/200),2)</f>
        <v>0</v>
      </c>
      <c r="Y480" s="63" t="n">
        <f aca="false">PI()*POWER((R480/200),2)</f>
        <v>0</v>
      </c>
      <c r="Z480" s="63" t="n">
        <f aca="false">PI()*POWER((S480/200),2)</f>
        <v>0</v>
      </c>
      <c r="AA480" s="63" t="n">
        <f aca="false">PI()*POWER((T480/200),2)</f>
        <v>0</v>
      </c>
      <c r="AB480" s="63" t="n">
        <f aca="false">PI()*POWER((U480/200),2)</f>
        <v>0</v>
      </c>
    </row>
    <row r="481" customFormat="false" ht="15" hidden="false" customHeight="false" outlineLevel="0" collapsed="false">
      <c r="A481" s="2" t="s">
        <v>20</v>
      </c>
      <c r="B481" s="2" t="n">
        <v>3</v>
      </c>
      <c r="C481" s="33" t="n">
        <v>46265</v>
      </c>
      <c r="D481" s="2" t="n">
        <v>2</v>
      </c>
      <c r="E481" s="2" t="s">
        <v>26</v>
      </c>
      <c r="F481" s="2" t="s">
        <v>27</v>
      </c>
      <c r="G481" s="2" t="s">
        <v>28</v>
      </c>
      <c r="H481" s="2" t="s">
        <v>95</v>
      </c>
      <c r="I481" s="2" t="s">
        <v>30</v>
      </c>
      <c r="J481" s="2" t="n">
        <v>113</v>
      </c>
      <c r="K481" s="32" t="s">
        <v>105</v>
      </c>
      <c r="L481" s="63" t="n">
        <f aca="false">SUM(V481:AB481)</f>
        <v>0.00107521008569111</v>
      </c>
      <c r="M481" s="63" t="n">
        <f aca="false">MAX(O481:U481)</f>
        <v>3.7</v>
      </c>
      <c r="N481" s="15" t="n">
        <f aca="false">COUNTIF(M481,"&gt;9.9")</f>
        <v>0</v>
      </c>
      <c r="O481" s="2" t="n">
        <v>3.7</v>
      </c>
      <c r="V481" s="63" t="n">
        <f aca="false">PI()*POWER((O481/200),2)</f>
        <v>0.00107521008569111</v>
      </c>
      <c r="W481" s="63" t="n">
        <f aca="false">PI()*POWER((P481/200),2)</f>
        <v>0</v>
      </c>
      <c r="X481" s="63" t="n">
        <f aca="false">PI()*POWER((Q481/200),2)</f>
        <v>0</v>
      </c>
      <c r="Y481" s="63" t="n">
        <f aca="false">PI()*POWER((R481/200),2)</f>
        <v>0</v>
      </c>
      <c r="Z481" s="63" t="n">
        <f aca="false">PI()*POWER((S481/200),2)</f>
        <v>0</v>
      </c>
      <c r="AA481" s="63" t="n">
        <f aca="false">PI()*POWER((T481/200),2)</f>
        <v>0</v>
      </c>
      <c r="AB481" s="63" t="n">
        <f aca="false">PI()*POWER((U481/200),2)</f>
        <v>0</v>
      </c>
    </row>
    <row r="482" customFormat="false" ht="15" hidden="false" customHeight="false" outlineLevel="0" collapsed="false">
      <c r="A482" s="2" t="s">
        <v>20</v>
      </c>
      <c r="B482" s="2" t="n">
        <v>3</v>
      </c>
      <c r="C482" s="33" t="n">
        <v>46265</v>
      </c>
      <c r="D482" s="2" t="n">
        <v>2</v>
      </c>
      <c r="E482" s="2" t="s">
        <v>26</v>
      </c>
      <c r="F482" s="2" t="s">
        <v>27</v>
      </c>
      <c r="G482" s="2" t="s">
        <v>28</v>
      </c>
      <c r="H482" s="2" t="s">
        <v>95</v>
      </c>
      <c r="I482" s="2" t="s">
        <v>30</v>
      </c>
      <c r="J482" s="2" t="n">
        <v>49</v>
      </c>
      <c r="K482" s="32" t="s">
        <v>105</v>
      </c>
      <c r="L482" s="63" t="n">
        <f aca="false">SUM(V482:AB482)</f>
        <v>0.00113411494794592</v>
      </c>
      <c r="M482" s="63" t="n">
        <f aca="false">MAX(O482:U482)</f>
        <v>3.8</v>
      </c>
      <c r="N482" s="15" t="n">
        <f aca="false">COUNTIF(M482,"&gt;9.9")</f>
        <v>0</v>
      </c>
      <c r="O482" s="2" t="n">
        <v>3.8</v>
      </c>
      <c r="V482" s="63" t="n">
        <f aca="false">PI()*POWER((O482/200),2)</f>
        <v>0.00113411494794592</v>
      </c>
      <c r="W482" s="63" t="n">
        <f aca="false">PI()*POWER((P482/200),2)</f>
        <v>0</v>
      </c>
      <c r="X482" s="63" t="n">
        <f aca="false">PI()*POWER((Q482/200),2)</f>
        <v>0</v>
      </c>
      <c r="Y482" s="63" t="n">
        <f aca="false">PI()*POWER((R482/200),2)</f>
        <v>0</v>
      </c>
      <c r="Z482" s="63" t="n">
        <f aca="false">PI()*POWER((S482/200),2)</f>
        <v>0</v>
      </c>
      <c r="AA482" s="63" t="n">
        <f aca="false">PI()*POWER((T482/200),2)</f>
        <v>0</v>
      </c>
      <c r="AB482" s="63" t="n">
        <f aca="false">PI()*POWER((U482/200),2)</f>
        <v>0</v>
      </c>
    </row>
    <row r="483" customFormat="false" ht="15" hidden="false" customHeight="false" outlineLevel="0" collapsed="false">
      <c r="A483" s="2" t="s">
        <v>20</v>
      </c>
      <c r="B483" s="2" t="n">
        <v>3</v>
      </c>
      <c r="C483" s="33" t="n">
        <v>46265</v>
      </c>
      <c r="D483" s="2" t="n">
        <v>2</v>
      </c>
      <c r="E483" s="2" t="s">
        <v>26</v>
      </c>
      <c r="F483" s="2" t="s">
        <v>27</v>
      </c>
      <c r="G483" s="2" t="s">
        <v>28</v>
      </c>
      <c r="H483" s="2" t="s">
        <v>95</v>
      </c>
      <c r="I483" s="2" t="s">
        <v>30</v>
      </c>
      <c r="J483" s="2" t="n">
        <v>95</v>
      </c>
      <c r="K483" s="32" t="s">
        <v>105</v>
      </c>
      <c r="L483" s="63" t="n">
        <f aca="false">SUM(V483:AB483)</f>
        <v>0.00113411494794592</v>
      </c>
      <c r="M483" s="63" t="n">
        <f aca="false">MAX(O483:U483)</f>
        <v>3.8</v>
      </c>
      <c r="N483" s="15" t="n">
        <f aca="false">COUNTIF(M483,"&gt;9.9")</f>
        <v>0</v>
      </c>
      <c r="O483" s="2" t="n">
        <v>3.8</v>
      </c>
      <c r="V483" s="63" t="n">
        <f aca="false">PI()*POWER((O483/200),2)</f>
        <v>0.00113411494794592</v>
      </c>
      <c r="W483" s="63" t="n">
        <f aca="false">PI()*POWER((P483/200),2)</f>
        <v>0</v>
      </c>
      <c r="X483" s="63" t="n">
        <f aca="false">PI()*POWER((Q483/200),2)</f>
        <v>0</v>
      </c>
      <c r="Y483" s="63" t="n">
        <f aca="false">PI()*POWER((R483/200),2)</f>
        <v>0</v>
      </c>
      <c r="Z483" s="63" t="n">
        <f aca="false">PI()*POWER((S483/200),2)</f>
        <v>0</v>
      </c>
      <c r="AA483" s="63" t="n">
        <f aca="false">PI()*POWER((T483/200),2)</f>
        <v>0</v>
      </c>
      <c r="AB483" s="63" t="n">
        <f aca="false">PI()*POWER((U483/200),2)</f>
        <v>0</v>
      </c>
    </row>
    <row r="484" customFormat="false" ht="15" hidden="false" customHeight="false" outlineLevel="0" collapsed="false">
      <c r="A484" s="2" t="s">
        <v>20</v>
      </c>
      <c r="B484" s="2" t="n">
        <v>3</v>
      </c>
      <c r="C484" s="33" t="n">
        <v>46265</v>
      </c>
      <c r="D484" s="2" t="n">
        <v>2</v>
      </c>
      <c r="E484" s="2" t="s">
        <v>26</v>
      </c>
      <c r="F484" s="2" t="s">
        <v>27</v>
      </c>
      <c r="G484" s="2" t="s">
        <v>28</v>
      </c>
      <c r="H484" s="2" t="s">
        <v>95</v>
      </c>
      <c r="I484" s="2" t="s">
        <v>30</v>
      </c>
      <c r="J484" s="2" t="n">
        <v>51</v>
      </c>
      <c r="K484" s="32" t="s">
        <v>105</v>
      </c>
      <c r="L484" s="63" t="n">
        <f aca="false">SUM(V484:AB484)</f>
        <v>0.00125663706143592</v>
      </c>
      <c r="M484" s="63" t="n">
        <f aca="false">MAX(O484:U484)</f>
        <v>4</v>
      </c>
      <c r="N484" s="15" t="n">
        <f aca="false">COUNTIF(M484,"&gt;9.9")</f>
        <v>0</v>
      </c>
      <c r="O484" s="2" t="n">
        <v>4</v>
      </c>
      <c r="V484" s="63" t="n">
        <f aca="false">PI()*POWER((O484/200),2)</f>
        <v>0.00125663706143592</v>
      </c>
      <c r="W484" s="63" t="n">
        <f aca="false">PI()*POWER((P484/200),2)</f>
        <v>0</v>
      </c>
      <c r="X484" s="63" t="n">
        <f aca="false">PI()*POWER((Q484/200),2)</f>
        <v>0</v>
      </c>
      <c r="Y484" s="63" t="n">
        <f aca="false">PI()*POWER((R484/200),2)</f>
        <v>0</v>
      </c>
      <c r="Z484" s="63" t="n">
        <f aca="false">PI()*POWER((S484/200),2)</f>
        <v>0</v>
      </c>
      <c r="AA484" s="63" t="n">
        <f aca="false">PI()*POWER((T484/200),2)</f>
        <v>0</v>
      </c>
      <c r="AB484" s="63" t="n">
        <f aca="false">PI()*POWER((U484/200),2)</f>
        <v>0</v>
      </c>
    </row>
    <row r="485" customFormat="false" ht="15" hidden="false" customHeight="false" outlineLevel="0" collapsed="false">
      <c r="A485" s="2" t="s">
        <v>20</v>
      </c>
      <c r="B485" s="2" t="n">
        <v>3</v>
      </c>
      <c r="C485" s="33" t="n">
        <v>46265</v>
      </c>
      <c r="D485" s="2" t="n">
        <v>2</v>
      </c>
      <c r="E485" s="2" t="s">
        <v>26</v>
      </c>
      <c r="F485" s="2" t="s">
        <v>27</v>
      </c>
      <c r="G485" s="2" t="s">
        <v>28</v>
      </c>
      <c r="H485" s="2" t="s">
        <v>95</v>
      </c>
      <c r="I485" s="2" t="s">
        <v>30</v>
      </c>
      <c r="J485" s="2" t="n">
        <v>61</v>
      </c>
      <c r="K485" s="32" t="s">
        <v>105</v>
      </c>
      <c r="L485" s="63" t="n">
        <f aca="false">SUM(V485:AB485)</f>
        <v>0.00125663706143592</v>
      </c>
      <c r="M485" s="63" t="n">
        <f aca="false">MAX(O485:U485)</f>
        <v>4</v>
      </c>
      <c r="N485" s="15" t="n">
        <f aca="false">COUNTIF(M485,"&gt;9.9")</f>
        <v>0</v>
      </c>
      <c r="O485" s="2" t="n">
        <v>4</v>
      </c>
      <c r="V485" s="63" t="n">
        <f aca="false">PI()*POWER((O485/200),2)</f>
        <v>0.00125663706143592</v>
      </c>
      <c r="W485" s="63" t="n">
        <f aca="false">PI()*POWER((P485/200),2)</f>
        <v>0</v>
      </c>
      <c r="X485" s="63" t="n">
        <f aca="false">PI()*POWER((Q485/200),2)</f>
        <v>0</v>
      </c>
      <c r="Y485" s="63" t="n">
        <f aca="false">PI()*POWER((R485/200),2)</f>
        <v>0</v>
      </c>
      <c r="Z485" s="63" t="n">
        <f aca="false">PI()*POWER((S485/200),2)</f>
        <v>0</v>
      </c>
      <c r="AA485" s="63" t="n">
        <f aca="false">PI()*POWER((T485/200),2)</f>
        <v>0</v>
      </c>
      <c r="AB485" s="63" t="n">
        <f aca="false">PI()*POWER((U485/200),2)</f>
        <v>0</v>
      </c>
    </row>
    <row r="486" customFormat="false" ht="15" hidden="false" customHeight="false" outlineLevel="0" collapsed="false">
      <c r="A486" s="2" t="s">
        <v>20</v>
      </c>
      <c r="B486" s="2" t="n">
        <v>3</v>
      </c>
      <c r="C486" s="33" t="n">
        <v>46265</v>
      </c>
      <c r="D486" s="2" t="n">
        <v>2</v>
      </c>
      <c r="E486" s="2" t="s">
        <v>26</v>
      </c>
      <c r="F486" s="2" t="s">
        <v>27</v>
      </c>
      <c r="G486" s="2" t="s">
        <v>28</v>
      </c>
      <c r="H486" s="2" t="s">
        <v>95</v>
      </c>
      <c r="I486" s="2" t="s">
        <v>30</v>
      </c>
      <c r="J486" s="2" t="n">
        <v>120</v>
      </c>
      <c r="K486" s="32" t="s">
        <v>105</v>
      </c>
      <c r="L486" s="63" t="n">
        <f aca="false">SUM(V486:AB486)</f>
        <v>0.00125663706143592</v>
      </c>
      <c r="M486" s="63" t="n">
        <f aca="false">MAX(O486:U486)</f>
        <v>4</v>
      </c>
      <c r="N486" s="15" t="n">
        <f aca="false">COUNTIF(M486,"&gt;9.9")</f>
        <v>0</v>
      </c>
      <c r="O486" s="2" t="n">
        <v>4</v>
      </c>
      <c r="V486" s="63" t="n">
        <f aca="false">PI()*POWER((O486/200),2)</f>
        <v>0.00125663706143592</v>
      </c>
      <c r="W486" s="63" t="n">
        <f aca="false">PI()*POWER((P486/200),2)</f>
        <v>0</v>
      </c>
      <c r="X486" s="63" t="n">
        <f aca="false">PI()*POWER((Q486/200),2)</f>
        <v>0</v>
      </c>
      <c r="Y486" s="63" t="n">
        <f aca="false">PI()*POWER((R486/200),2)</f>
        <v>0</v>
      </c>
      <c r="Z486" s="63" t="n">
        <f aca="false">PI()*POWER((S486/200),2)</f>
        <v>0</v>
      </c>
      <c r="AA486" s="63" t="n">
        <f aca="false">PI()*POWER((T486/200),2)</f>
        <v>0</v>
      </c>
      <c r="AB486" s="63" t="n">
        <f aca="false">PI()*POWER((U486/200),2)</f>
        <v>0</v>
      </c>
    </row>
    <row r="487" customFormat="false" ht="15" hidden="false" customHeight="false" outlineLevel="0" collapsed="false">
      <c r="A487" s="2" t="s">
        <v>20</v>
      </c>
      <c r="B487" s="2" t="n">
        <v>3</v>
      </c>
      <c r="C487" s="33" t="n">
        <v>46265</v>
      </c>
      <c r="D487" s="2" t="n">
        <v>2</v>
      </c>
      <c r="E487" s="2" t="s">
        <v>26</v>
      </c>
      <c r="F487" s="2" t="s">
        <v>27</v>
      </c>
      <c r="G487" s="2" t="s">
        <v>28</v>
      </c>
      <c r="H487" s="2" t="s">
        <v>95</v>
      </c>
      <c r="I487" s="2" t="s">
        <v>30</v>
      </c>
      <c r="J487" s="2" t="n">
        <v>33</v>
      </c>
      <c r="K487" s="32" t="s">
        <v>105</v>
      </c>
      <c r="L487" s="63" t="n">
        <f aca="false">SUM(V487:AB487)</f>
        <v>0.0013854423602331</v>
      </c>
      <c r="M487" s="63" t="n">
        <f aca="false">MAX(O487:U487)</f>
        <v>4.2</v>
      </c>
      <c r="N487" s="15" t="n">
        <f aca="false">COUNTIF(M487,"&gt;9.9")</f>
        <v>0</v>
      </c>
      <c r="O487" s="2" t="n">
        <v>4.2</v>
      </c>
      <c r="V487" s="63" t="n">
        <f aca="false">PI()*POWER((O487/200),2)</f>
        <v>0.0013854423602331</v>
      </c>
      <c r="W487" s="63" t="n">
        <f aca="false">PI()*POWER((P487/200),2)</f>
        <v>0</v>
      </c>
      <c r="X487" s="63" t="n">
        <f aca="false">PI()*POWER((Q487/200),2)</f>
        <v>0</v>
      </c>
      <c r="Y487" s="63" t="n">
        <f aca="false">PI()*POWER((R487/200),2)</f>
        <v>0</v>
      </c>
      <c r="Z487" s="63" t="n">
        <f aca="false">PI()*POWER((S487/200),2)</f>
        <v>0</v>
      </c>
      <c r="AA487" s="63" t="n">
        <f aca="false">PI()*POWER((T487/200),2)</f>
        <v>0</v>
      </c>
      <c r="AB487" s="63" t="n">
        <f aca="false">PI()*POWER((U487/200),2)</f>
        <v>0</v>
      </c>
    </row>
    <row r="488" customFormat="false" ht="15" hidden="false" customHeight="false" outlineLevel="0" collapsed="false">
      <c r="A488" s="2" t="s">
        <v>20</v>
      </c>
      <c r="B488" s="2" t="n">
        <v>3</v>
      </c>
      <c r="C488" s="33" t="n">
        <v>46265</v>
      </c>
      <c r="D488" s="2" t="n">
        <v>2</v>
      </c>
      <c r="E488" s="2" t="s">
        <v>26</v>
      </c>
      <c r="F488" s="2" t="s">
        <v>27</v>
      </c>
      <c r="G488" s="2" t="s">
        <v>28</v>
      </c>
      <c r="H488" s="2" t="s">
        <v>95</v>
      </c>
      <c r="I488" s="2" t="s">
        <v>30</v>
      </c>
      <c r="J488" s="2" t="n">
        <v>45</v>
      </c>
      <c r="K488" s="32" t="s">
        <v>105</v>
      </c>
      <c r="L488" s="63" t="n">
        <f aca="false">SUM(V488:AB488)</f>
        <v>0.0013854423602331</v>
      </c>
      <c r="M488" s="63" t="n">
        <f aca="false">MAX(O488:U488)</f>
        <v>4.2</v>
      </c>
      <c r="N488" s="15" t="n">
        <f aca="false">COUNTIF(M488,"&gt;9.9")</f>
        <v>0</v>
      </c>
      <c r="O488" s="2" t="n">
        <v>4.2</v>
      </c>
      <c r="V488" s="63" t="n">
        <f aca="false">PI()*POWER((O488/200),2)</f>
        <v>0.0013854423602331</v>
      </c>
      <c r="W488" s="63" t="n">
        <f aca="false">PI()*POWER((P488/200),2)</f>
        <v>0</v>
      </c>
      <c r="X488" s="63" t="n">
        <f aca="false">PI()*POWER((Q488/200),2)</f>
        <v>0</v>
      </c>
      <c r="Y488" s="63" t="n">
        <f aca="false">PI()*POWER((R488/200),2)</f>
        <v>0</v>
      </c>
      <c r="Z488" s="63" t="n">
        <f aca="false">PI()*POWER((S488/200),2)</f>
        <v>0</v>
      </c>
      <c r="AA488" s="63" t="n">
        <f aca="false">PI()*POWER((T488/200),2)</f>
        <v>0</v>
      </c>
      <c r="AB488" s="63" t="n">
        <f aca="false">PI()*POWER((U488/200),2)</f>
        <v>0</v>
      </c>
    </row>
    <row r="489" customFormat="false" ht="15" hidden="false" customHeight="false" outlineLevel="0" collapsed="false">
      <c r="A489" s="2" t="s">
        <v>20</v>
      </c>
      <c r="B489" s="2" t="n">
        <v>3</v>
      </c>
      <c r="C489" s="33" t="n">
        <v>46265</v>
      </c>
      <c r="D489" s="2" t="n">
        <v>2</v>
      </c>
      <c r="E489" s="2" t="s">
        <v>26</v>
      </c>
      <c r="F489" s="2" t="s">
        <v>27</v>
      </c>
      <c r="G489" s="2" t="s">
        <v>28</v>
      </c>
      <c r="H489" s="2" t="s">
        <v>95</v>
      </c>
      <c r="I489" s="2" t="s">
        <v>30</v>
      </c>
      <c r="J489" s="2" t="n">
        <v>138</v>
      </c>
      <c r="K489" s="32" t="s">
        <v>105</v>
      </c>
      <c r="L489" s="63" t="n">
        <f aca="false">SUM(V489:AB489)</f>
        <v>0.0013854423602331</v>
      </c>
      <c r="M489" s="63" t="n">
        <f aca="false">MAX(O489:U489)</f>
        <v>4.2</v>
      </c>
      <c r="N489" s="15" t="n">
        <f aca="false">COUNTIF(M489,"&gt;9.9")</f>
        <v>0</v>
      </c>
      <c r="O489" s="2" t="n">
        <v>4.2</v>
      </c>
      <c r="V489" s="63" t="n">
        <f aca="false">PI()*POWER((O489/200),2)</f>
        <v>0.0013854423602331</v>
      </c>
      <c r="W489" s="63" t="n">
        <f aca="false">PI()*POWER((P489/200),2)</f>
        <v>0</v>
      </c>
      <c r="X489" s="63" t="n">
        <f aca="false">PI()*POWER((Q489/200),2)</f>
        <v>0</v>
      </c>
      <c r="Y489" s="63" t="n">
        <f aca="false">PI()*POWER((R489/200),2)</f>
        <v>0</v>
      </c>
      <c r="Z489" s="63" t="n">
        <f aca="false">PI()*POWER((S489/200),2)</f>
        <v>0</v>
      </c>
      <c r="AA489" s="63" t="n">
        <f aca="false">PI()*POWER((T489/200),2)</f>
        <v>0</v>
      </c>
      <c r="AB489" s="63" t="n">
        <f aca="false">PI()*POWER((U489/200),2)</f>
        <v>0</v>
      </c>
    </row>
    <row r="490" customFormat="false" ht="15" hidden="false" customHeight="false" outlineLevel="0" collapsed="false">
      <c r="A490" s="2" t="s">
        <v>20</v>
      </c>
      <c r="B490" s="2" t="n">
        <v>3</v>
      </c>
      <c r="C490" s="33" t="n">
        <v>46265</v>
      </c>
      <c r="D490" s="2" t="n">
        <v>2</v>
      </c>
      <c r="E490" s="2" t="s">
        <v>26</v>
      </c>
      <c r="F490" s="2" t="s">
        <v>27</v>
      </c>
      <c r="G490" s="2" t="s">
        <v>28</v>
      </c>
      <c r="H490" s="2" t="s">
        <v>95</v>
      </c>
      <c r="I490" s="2" t="s">
        <v>30</v>
      </c>
      <c r="J490" s="2" t="n">
        <v>66</v>
      </c>
      <c r="K490" s="32" t="s">
        <v>105</v>
      </c>
      <c r="L490" s="63" t="n">
        <f aca="false">SUM(V490:AB490)</f>
        <v>0.00152053084433746</v>
      </c>
      <c r="M490" s="63" t="n">
        <f aca="false">MAX(O490:U490)</f>
        <v>4.4</v>
      </c>
      <c r="N490" s="15" t="n">
        <f aca="false">COUNTIF(M490,"&gt;9.9")</f>
        <v>0</v>
      </c>
      <c r="O490" s="2" t="n">
        <v>4.4</v>
      </c>
      <c r="V490" s="63" t="n">
        <f aca="false">PI()*POWER((O490/200),2)</f>
        <v>0.00152053084433746</v>
      </c>
      <c r="W490" s="63" t="n">
        <f aca="false">PI()*POWER((P490/200),2)</f>
        <v>0</v>
      </c>
      <c r="X490" s="63" t="n">
        <f aca="false">PI()*POWER((Q490/200),2)</f>
        <v>0</v>
      </c>
      <c r="Y490" s="63" t="n">
        <f aca="false">PI()*POWER((R490/200),2)</f>
        <v>0</v>
      </c>
      <c r="Z490" s="63" t="n">
        <f aca="false">PI()*POWER((S490/200),2)</f>
        <v>0</v>
      </c>
      <c r="AA490" s="63" t="n">
        <f aca="false">PI()*POWER((T490/200),2)</f>
        <v>0</v>
      </c>
      <c r="AB490" s="63" t="n">
        <f aca="false">PI()*POWER((U490/200),2)</f>
        <v>0</v>
      </c>
    </row>
    <row r="491" customFormat="false" ht="15" hidden="false" customHeight="false" outlineLevel="0" collapsed="false">
      <c r="A491" s="2" t="s">
        <v>20</v>
      </c>
      <c r="B491" s="2" t="n">
        <v>3</v>
      </c>
      <c r="C491" s="33" t="n">
        <v>46265</v>
      </c>
      <c r="D491" s="2" t="n">
        <v>2</v>
      </c>
      <c r="E491" s="2" t="s">
        <v>26</v>
      </c>
      <c r="F491" s="2" t="s">
        <v>27</v>
      </c>
      <c r="G491" s="2" t="s">
        <v>28</v>
      </c>
      <c r="H491" s="2" t="s">
        <v>95</v>
      </c>
      <c r="I491" s="2" t="s">
        <v>30</v>
      </c>
      <c r="J491" s="2" t="n">
        <v>87</v>
      </c>
      <c r="K491" s="32" t="s">
        <v>105</v>
      </c>
      <c r="L491" s="63" t="n">
        <f aca="false">SUM(V491:AB491)</f>
        <v>0.00159043128087983</v>
      </c>
      <c r="M491" s="63" t="n">
        <f aca="false">MAX(O491:U491)</f>
        <v>4.5</v>
      </c>
      <c r="N491" s="15" t="n">
        <f aca="false">COUNTIF(M491,"&gt;9.9")</f>
        <v>0</v>
      </c>
      <c r="O491" s="2" t="n">
        <v>4.5</v>
      </c>
      <c r="V491" s="63" t="n">
        <f aca="false">PI()*POWER((O491/200),2)</f>
        <v>0.00159043128087983</v>
      </c>
      <c r="W491" s="63" t="n">
        <f aca="false">PI()*POWER((P491/200),2)</f>
        <v>0</v>
      </c>
      <c r="X491" s="63" t="n">
        <f aca="false">PI()*POWER((Q491/200),2)</f>
        <v>0</v>
      </c>
      <c r="Y491" s="63" t="n">
        <f aca="false">PI()*POWER((R491/200),2)</f>
        <v>0</v>
      </c>
      <c r="Z491" s="63" t="n">
        <f aca="false">PI()*POWER((S491/200),2)</f>
        <v>0</v>
      </c>
      <c r="AA491" s="63" t="n">
        <f aca="false">PI()*POWER((T491/200),2)</f>
        <v>0</v>
      </c>
      <c r="AB491" s="63" t="n">
        <f aca="false">PI()*POWER((U491/200),2)</f>
        <v>0</v>
      </c>
    </row>
    <row r="492" customFormat="false" ht="15" hidden="false" customHeight="false" outlineLevel="0" collapsed="false">
      <c r="A492" s="2" t="s">
        <v>20</v>
      </c>
      <c r="B492" s="2" t="n">
        <v>3</v>
      </c>
      <c r="C492" s="33" t="n">
        <v>46265</v>
      </c>
      <c r="D492" s="2" t="n">
        <v>2</v>
      </c>
      <c r="E492" s="2" t="s">
        <v>26</v>
      </c>
      <c r="F492" s="2" t="s">
        <v>27</v>
      </c>
      <c r="G492" s="2" t="s">
        <v>28</v>
      </c>
      <c r="H492" s="2" t="s">
        <v>95</v>
      </c>
      <c r="I492" s="2" t="s">
        <v>30</v>
      </c>
      <c r="J492" s="2" t="n">
        <v>124</v>
      </c>
      <c r="K492" s="32" t="s">
        <v>105</v>
      </c>
      <c r="L492" s="63" t="n">
        <f aca="false">SUM(V492:AB492)</f>
        <v>0.001661902513749</v>
      </c>
      <c r="M492" s="63" t="n">
        <f aca="false">MAX(O492:U492)</f>
        <v>4.6</v>
      </c>
      <c r="N492" s="15" t="n">
        <f aca="false">COUNTIF(M492,"&gt;9.9")</f>
        <v>0</v>
      </c>
      <c r="O492" s="2" t="n">
        <v>4.6</v>
      </c>
      <c r="V492" s="63" t="n">
        <f aca="false">PI()*POWER((O492/200),2)</f>
        <v>0.001661902513749</v>
      </c>
      <c r="W492" s="63" t="n">
        <f aca="false">PI()*POWER((P492/200),2)</f>
        <v>0</v>
      </c>
      <c r="X492" s="63" t="n">
        <f aca="false">PI()*POWER((Q492/200),2)</f>
        <v>0</v>
      </c>
      <c r="Y492" s="63" t="n">
        <f aca="false">PI()*POWER((R492/200),2)</f>
        <v>0</v>
      </c>
      <c r="Z492" s="63" t="n">
        <f aca="false">PI()*POWER((S492/200),2)</f>
        <v>0</v>
      </c>
      <c r="AA492" s="63" t="n">
        <f aca="false">PI()*POWER((T492/200),2)</f>
        <v>0</v>
      </c>
      <c r="AB492" s="63" t="n">
        <f aca="false">PI()*POWER((U492/200),2)</f>
        <v>0</v>
      </c>
    </row>
    <row r="493" customFormat="false" ht="15" hidden="false" customHeight="false" outlineLevel="0" collapsed="false">
      <c r="A493" s="2" t="s">
        <v>20</v>
      </c>
      <c r="B493" s="2" t="n">
        <v>3</v>
      </c>
      <c r="C493" s="33" t="n">
        <v>46265</v>
      </c>
      <c r="D493" s="2" t="n">
        <v>2</v>
      </c>
      <c r="E493" s="2" t="s">
        <v>26</v>
      </c>
      <c r="F493" s="2" t="s">
        <v>27</v>
      </c>
      <c r="G493" s="2" t="s">
        <v>28</v>
      </c>
      <c r="H493" s="2" t="s">
        <v>95</v>
      </c>
      <c r="I493" s="2" t="s">
        <v>30</v>
      </c>
      <c r="J493" s="2" t="n">
        <v>11</v>
      </c>
      <c r="K493" s="32" t="s">
        <v>105</v>
      </c>
      <c r="L493" s="63" t="n">
        <f aca="false">SUM(V493:AB493)</f>
        <v>0.00180955736846772</v>
      </c>
      <c r="M493" s="63" t="n">
        <f aca="false">MAX(O493:U493)</f>
        <v>4.8</v>
      </c>
      <c r="N493" s="15" t="n">
        <f aca="false">COUNTIF(M493,"&gt;9.9")</f>
        <v>0</v>
      </c>
      <c r="O493" s="2" t="n">
        <v>4.8</v>
      </c>
      <c r="V493" s="63" t="n">
        <f aca="false">PI()*POWER((O493/200),2)</f>
        <v>0.00180955736846772</v>
      </c>
      <c r="W493" s="63" t="n">
        <f aca="false">PI()*POWER((P493/200),2)</f>
        <v>0</v>
      </c>
      <c r="X493" s="63" t="n">
        <f aca="false">PI()*POWER((Q493/200),2)</f>
        <v>0</v>
      </c>
      <c r="Y493" s="63" t="n">
        <f aca="false">PI()*POWER((R493/200),2)</f>
        <v>0</v>
      </c>
      <c r="Z493" s="63" t="n">
        <f aca="false">PI()*POWER((S493/200),2)</f>
        <v>0</v>
      </c>
      <c r="AA493" s="63" t="n">
        <f aca="false">PI()*POWER((T493/200),2)</f>
        <v>0</v>
      </c>
      <c r="AB493" s="63" t="n">
        <f aca="false">PI()*POWER((U493/200),2)</f>
        <v>0</v>
      </c>
    </row>
    <row r="494" customFormat="false" ht="15" hidden="false" customHeight="false" outlineLevel="0" collapsed="false">
      <c r="A494" s="2" t="s">
        <v>20</v>
      </c>
      <c r="B494" s="2" t="n">
        <v>3</v>
      </c>
      <c r="C494" s="33" t="n">
        <v>46265</v>
      </c>
      <c r="D494" s="2" t="n">
        <v>2</v>
      </c>
      <c r="E494" s="2" t="s">
        <v>26</v>
      </c>
      <c r="F494" s="2" t="s">
        <v>27</v>
      </c>
      <c r="G494" s="2" t="s">
        <v>28</v>
      </c>
      <c r="H494" s="2" t="s">
        <v>95</v>
      </c>
      <c r="I494" s="2" t="s">
        <v>30</v>
      </c>
      <c r="J494" s="2" t="n">
        <v>13</v>
      </c>
      <c r="K494" s="32" t="s">
        <v>105</v>
      </c>
      <c r="L494" s="63" t="n">
        <f aca="false">SUM(V494:AB494)</f>
        <v>0.00180955736846772</v>
      </c>
      <c r="M494" s="63" t="n">
        <f aca="false">MAX(O494:U494)</f>
        <v>4.8</v>
      </c>
      <c r="N494" s="15" t="n">
        <f aca="false">COUNTIF(M494,"&gt;9.9")</f>
        <v>0</v>
      </c>
      <c r="O494" s="2" t="n">
        <v>4.8</v>
      </c>
      <c r="V494" s="63" t="n">
        <f aca="false">PI()*POWER((O494/200),2)</f>
        <v>0.00180955736846772</v>
      </c>
      <c r="W494" s="63" t="n">
        <f aca="false">PI()*POWER((P494/200),2)</f>
        <v>0</v>
      </c>
      <c r="X494" s="63" t="n">
        <f aca="false">PI()*POWER((Q494/200),2)</f>
        <v>0</v>
      </c>
      <c r="Y494" s="63" t="n">
        <f aca="false">PI()*POWER((R494/200),2)</f>
        <v>0</v>
      </c>
      <c r="Z494" s="63" t="n">
        <f aca="false">PI()*POWER((S494/200),2)</f>
        <v>0</v>
      </c>
      <c r="AA494" s="63" t="n">
        <f aca="false">PI()*POWER((T494/200),2)</f>
        <v>0</v>
      </c>
      <c r="AB494" s="63" t="n">
        <f aca="false">PI()*POWER((U494/200),2)</f>
        <v>0</v>
      </c>
    </row>
    <row r="495" customFormat="false" ht="15" hidden="false" customHeight="false" outlineLevel="0" collapsed="false">
      <c r="A495" s="2" t="s">
        <v>20</v>
      </c>
      <c r="B495" s="2" t="n">
        <v>3</v>
      </c>
      <c r="C495" s="33" t="n">
        <v>46265</v>
      </c>
      <c r="D495" s="2" t="n">
        <v>2</v>
      </c>
      <c r="E495" s="2" t="s">
        <v>26</v>
      </c>
      <c r="F495" s="2" t="s">
        <v>27</v>
      </c>
      <c r="G495" s="2" t="s">
        <v>28</v>
      </c>
      <c r="H495" s="2" t="s">
        <v>95</v>
      </c>
      <c r="I495" s="2" t="s">
        <v>30</v>
      </c>
      <c r="J495" s="2" t="n">
        <v>104</v>
      </c>
      <c r="K495" s="32" t="s">
        <v>105</v>
      </c>
      <c r="L495" s="63" t="n">
        <f aca="false">SUM(V495:AB495)</f>
        <v>0.00180955736846772</v>
      </c>
      <c r="M495" s="63" t="n">
        <f aca="false">MAX(O495:U495)</f>
        <v>4.8</v>
      </c>
      <c r="N495" s="15" t="n">
        <f aca="false">COUNTIF(M495,"&gt;9.9")</f>
        <v>0</v>
      </c>
      <c r="O495" s="2" t="n">
        <v>4.8</v>
      </c>
      <c r="V495" s="63" t="n">
        <f aca="false">PI()*POWER((O495/200),2)</f>
        <v>0.00180955736846772</v>
      </c>
      <c r="W495" s="63" t="n">
        <f aca="false">PI()*POWER((P495/200),2)</f>
        <v>0</v>
      </c>
      <c r="X495" s="63" t="n">
        <f aca="false">PI()*POWER((Q495/200),2)</f>
        <v>0</v>
      </c>
      <c r="Y495" s="63" t="n">
        <f aca="false">PI()*POWER((R495/200),2)</f>
        <v>0</v>
      </c>
      <c r="Z495" s="63" t="n">
        <f aca="false">PI()*POWER((S495/200),2)</f>
        <v>0</v>
      </c>
      <c r="AA495" s="63" t="n">
        <f aca="false">PI()*POWER((T495/200),2)</f>
        <v>0</v>
      </c>
      <c r="AB495" s="63" t="n">
        <f aca="false">PI()*POWER((U495/200),2)</f>
        <v>0</v>
      </c>
    </row>
    <row r="496" customFormat="false" ht="15" hidden="false" customHeight="false" outlineLevel="0" collapsed="false">
      <c r="A496" s="2" t="s">
        <v>20</v>
      </c>
      <c r="B496" s="2" t="n">
        <v>3</v>
      </c>
      <c r="C496" s="33" t="n">
        <v>46265</v>
      </c>
      <c r="D496" s="2" t="n">
        <v>2</v>
      </c>
      <c r="E496" s="2" t="s">
        <v>26</v>
      </c>
      <c r="F496" s="2" t="s">
        <v>27</v>
      </c>
      <c r="G496" s="2" t="s">
        <v>28</v>
      </c>
      <c r="H496" s="2" t="s">
        <v>95</v>
      </c>
      <c r="I496" s="2" t="s">
        <v>30</v>
      </c>
      <c r="J496" s="2" t="n">
        <v>88</v>
      </c>
      <c r="K496" s="32" t="s">
        <v>105</v>
      </c>
      <c r="L496" s="63" t="n">
        <f aca="false">SUM(V496:AB496)</f>
        <v>0.00204282062299676</v>
      </c>
      <c r="M496" s="63" t="n">
        <f aca="false">MAX(O496:U496)</f>
        <v>5.1</v>
      </c>
      <c r="N496" s="15" t="n">
        <f aca="false">COUNTIF(M496,"&gt;9.9")</f>
        <v>0</v>
      </c>
      <c r="O496" s="2" t="n">
        <v>5.1</v>
      </c>
      <c r="V496" s="63" t="n">
        <f aca="false">PI()*POWER((O496/200),2)</f>
        <v>0.00204282062299676</v>
      </c>
      <c r="W496" s="63" t="n">
        <f aca="false">PI()*POWER((P496/200),2)</f>
        <v>0</v>
      </c>
      <c r="X496" s="63" t="n">
        <f aca="false">PI()*POWER((Q496/200),2)</f>
        <v>0</v>
      </c>
      <c r="Y496" s="63" t="n">
        <f aca="false">PI()*POWER((R496/200),2)</f>
        <v>0</v>
      </c>
      <c r="Z496" s="63" t="n">
        <f aca="false">PI()*POWER((S496/200),2)</f>
        <v>0</v>
      </c>
      <c r="AA496" s="63" t="n">
        <f aca="false">PI()*POWER((T496/200),2)</f>
        <v>0</v>
      </c>
      <c r="AB496" s="63" t="n">
        <f aca="false">PI()*POWER((U496/200),2)</f>
        <v>0</v>
      </c>
    </row>
    <row r="497" customFormat="false" ht="15" hidden="false" customHeight="false" outlineLevel="0" collapsed="false">
      <c r="A497" s="2" t="s">
        <v>20</v>
      </c>
      <c r="B497" s="2" t="n">
        <v>3</v>
      </c>
      <c r="C497" s="33" t="n">
        <v>46265</v>
      </c>
      <c r="D497" s="2" t="n">
        <v>2</v>
      </c>
      <c r="E497" s="2" t="s">
        <v>26</v>
      </c>
      <c r="F497" s="2" t="s">
        <v>27</v>
      </c>
      <c r="G497" s="2" t="s">
        <v>28</v>
      </c>
      <c r="H497" s="2" t="s">
        <v>95</v>
      </c>
      <c r="I497" s="2" t="s">
        <v>30</v>
      </c>
      <c r="J497" s="2" t="n">
        <v>68</v>
      </c>
      <c r="K497" s="32" t="s">
        <v>105</v>
      </c>
      <c r="L497" s="63" t="n">
        <f aca="false">SUM(V497:AB497)</f>
        <v>0.0024630086404144</v>
      </c>
      <c r="M497" s="63" t="n">
        <f aca="false">MAX(O497:U497)</f>
        <v>5.6</v>
      </c>
      <c r="N497" s="15" t="n">
        <f aca="false">COUNTIF(M497,"&gt;9.9")</f>
        <v>0</v>
      </c>
      <c r="O497" s="2" t="n">
        <v>5.6</v>
      </c>
      <c r="V497" s="63" t="n">
        <f aca="false">PI()*POWER((O497/200),2)</f>
        <v>0.0024630086404144</v>
      </c>
      <c r="W497" s="63" t="n">
        <f aca="false">PI()*POWER((P497/200),2)</f>
        <v>0</v>
      </c>
      <c r="X497" s="63" t="n">
        <f aca="false">PI()*POWER((Q497/200),2)</f>
        <v>0</v>
      </c>
      <c r="Y497" s="63" t="n">
        <f aca="false">PI()*POWER((R497/200),2)</f>
        <v>0</v>
      </c>
      <c r="Z497" s="63" t="n">
        <f aca="false">PI()*POWER((S497/200),2)</f>
        <v>0</v>
      </c>
      <c r="AA497" s="63" t="n">
        <f aca="false">PI()*POWER((T497/200),2)</f>
        <v>0</v>
      </c>
      <c r="AB497" s="63" t="n">
        <f aca="false">PI()*POWER((U497/200),2)</f>
        <v>0</v>
      </c>
    </row>
    <row r="498" customFormat="false" ht="15" hidden="false" customHeight="false" outlineLevel="0" collapsed="false">
      <c r="A498" s="2" t="s">
        <v>20</v>
      </c>
      <c r="B498" s="2" t="n">
        <v>3</v>
      </c>
      <c r="C498" s="33" t="n">
        <v>46265</v>
      </c>
      <c r="D498" s="2" t="n">
        <v>2</v>
      </c>
      <c r="E498" s="2" t="s">
        <v>26</v>
      </c>
      <c r="F498" s="2" t="s">
        <v>27</v>
      </c>
      <c r="G498" s="2" t="s">
        <v>28</v>
      </c>
      <c r="H498" s="2" t="s">
        <v>95</v>
      </c>
      <c r="I498" s="2" t="s">
        <v>30</v>
      </c>
      <c r="J498" s="2" t="n">
        <v>117</v>
      </c>
      <c r="K498" s="32" t="s">
        <v>105</v>
      </c>
      <c r="L498" s="63" t="n">
        <f aca="false">SUM(V498:AB498)</f>
        <v>0.00264207942166902</v>
      </c>
      <c r="M498" s="63" t="n">
        <f aca="false">MAX(O498:U498)</f>
        <v>5.8</v>
      </c>
      <c r="N498" s="15" t="n">
        <f aca="false">COUNTIF(M498,"&gt;9.9")</f>
        <v>0</v>
      </c>
      <c r="O498" s="2" t="n">
        <v>5.8</v>
      </c>
      <c r="V498" s="63" t="n">
        <f aca="false">PI()*POWER((O498/200),2)</f>
        <v>0.00264207942166902</v>
      </c>
      <c r="W498" s="63" t="n">
        <f aca="false">PI()*POWER((P498/200),2)</f>
        <v>0</v>
      </c>
      <c r="X498" s="63" t="n">
        <f aca="false">PI()*POWER((Q498/200),2)</f>
        <v>0</v>
      </c>
      <c r="Y498" s="63" t="n">
        <f aca="false">PI()*POWER((R498/200),2)</f>
        <v>0</v>
      </c>
      <c r="Z498" s="63" t="n">
        <f aca="false">PI()*POWER((S498/200),2)</f>
        <v>0</v>
      </c>
      <c r="AA498" s="63" t="n">
        <f aca="false">PI()*POWER((T498/200),2)</f>
        <v>0</v>
      </c>
      <c r="AB498" s="63" t="n">
        <f aca="false">PI()*POWER((U498/200),2)</f>
        <v>0</v>
      </c>
    </row>
    <row r="499" customFormat="false" ht="15" hidden="false" customHeight="false" outlineLevel="0" collapsed="false">
      <c r="A499" s="2" t="s">
        <v>20</v>
      </c>
      <c r="B499" s="2" t="n">
        <v>3</v>
      </c>
      <c r="C499" s="33" t="n">
        <v>46265</v>
      </c>
      <c r="D499" s="2" t="n">
        <v>2</v>
      </c>
      <c r="E499" s="2" t="s">
        <v>26</v>
      </c>
      <c r="F499" s="2" t="s">
        <v>27</v>
      </c>
      <c r="G499" s="2" t="s">
        <v>28</v>
      </c>
      <c r="H499" s="2" t="s">
        <v>95</v>
      </c>
      <c r="I499" s="2" t="s">
        <v>30</v>
      </c>
      <c r="J499" s="2" t="n">
        <v>105</v>
      </c>
      <c r="K499" s="32" t="s">
        <v>105</v>
      </c>
      <c r="L499" s="63" t="n">
        <f aca="false">SUM(V499:AB499)</f>
        <v>0.00282743338823081</v>
      </c>
      <c r="M499" s="63" t="n">
        <f aca="false">MAX(O499:U499)</f>
        <v>6</v>
      </c>
      <c r="N499" s="15" t="n">
        <f aca="false">COUNTIF(M499,"&gt;9.9")</f>
        <v>0</v>
      </c>
      <c r="O499" s="2" t="n">
        <v>6</v>
      </c>
      <c r="V499" s="63" t="n">
        <f aca="false">PI()*POWER((O499/200),2)</f>
        <v>0.00282743338823081</v>
      </c>
      <c r="W499" s="63" t="n">
        <f aca="false">PI()*POWER((P499/200),2)</f>
        <v>0</v>
      </c>
      <c r="X499" s="63" t="n">
        <f aca="false">PI()*POWER((Q499/200),2)</f>
        <v>0</v>
      </c>
      <c r="Y499" s="63" t="n">
        <f aca="false">PI()*POWER((R499/200),2)</f>
        <v>0</v>
      </c>
      <c r="Z499" s="63" t="n">
        <f aca="false">PI()*POWER((S499/200),2)</f>
        <v>0</v>
      </c>
      <c r="AA499" s="63" t="n">
        <f aca="false">PI()*POWER((T499/200),2)</f>
        <v>0</v>
      </c>
      <c r="AB499" s="63" t="n">
        <f aca="false">PI()*POWER((U499/200),2)</f>
        <v>0</v>
      </c>
    </row>
    <row r="500" customFormat="false" ht="15" hidden="false" customHeight="false" outlineLevel="0" collapsed="false">
      <c r="A500" s="2" t="s">
        <v>20</v>
      </c>
      <c r="B500" s="2" t="n">
        <v>3</v>
      </c>
      <c r="C500" s="33" t="n">
        <v>46265</v>
      </c>
      <c r="D500" s="2" t="n">
        <v>2</v>
      </c>
      <c r="E500" s="2" t="s">
        <v>26</v>
      </c>
      <c r="F500" s="2" t="s">
        <v>27</v>
      </c>
      <c r="G500" s="2" t="s">
        <v>28</v>
      </c>
      <c r="H500" s="2" t="s">
        <v>95</v>
      </c>
      <c r="I500" s="2" t="s">
        <v>30</v>
      </c>
      <c r="J500" s="2" t="n">
        <v>85</v>
      </c>
      <c r="K500" s="32" t="s">
        <v>105</v>
      </c>
      <c r="L500" s="63" t="n">
        <f aca="false">SUM(V500:AB500)</f>
        <v>0.00321699087727595</v>
      </c>
      <c r="M500" s="63" t="n">
        <f aca="false">MAX(O500:U500)</f>
        <v>6.4</v>
      </c>
      <c r="N500" s="15" t="n">
        <f aca="false">COUNTIF(M500,"&gt;9.9")</f>
        <v>0</v>
      </c>
      <c r="O500" s="2" t="n">
        <v>6.4</v>
      </c>
      <c r="V500" s="63" t="n">
        <f aca="false">PI()*POWER((O500/200),2)</f>
        <v>0.00321699087727595</v>
      </c>
      <c r="W500" s="63" t="n">
        <f aca="false">PI()*POWER((P500/200),2)</f>
        <v>0</v>
      </c>
      <c r="X500" s="63" t="n">
        <f aca="false">PI()*POWER((Q500/200),2)</f>
        <v>0</v>
      </c>
      <c r="Y500" s="63" t="n">
        <f aca="false">PI()*POWER((R500/200),2)</f>
        <v>0</v>
      </c>
      <c r="Z500" s="63" t="n">
        <f aca="false">PI()*POWER((S500/200),2)</f>
        <v>0</v>
      </c>
      <c r="AA500" s="63" t="n">
        <f aca="false">PI()*POWER((T500/200),2)</f>
        <v>0</v>
      </c>
      <c r="AB500" s="63" t="n">
        <f aca="false">PI()*POWER((U500/200),2)</f>
        <v>0</v>
      </c>
    </row>
    <row r="501" customFormat="false" ht="15" hidden="false" customHeight="false" outlineLevel="0" collapsed="false">
      <c r="A501" s="2" t="s">
        <v>20</v>
      </c>
      <c r="B501" s="2" t="n">
        <v>3</v>
      </c>
      <c r="C501" s="33" t="n">
        <v>46265</v>
      </c>
      <c r="D501" s="2" t="n">
        <v>2</v>
      </c>
      <c r="E501" s="2" t="s">
        <v>26</v>
      </c>
      <c r="F501" s="2" t="s">
        <v>27</v>
      </c>
      <c r="G501" s="2" t="s">
        <v>28</v>
      </c>
      <c r="H501" s="2" t="s">
        <v>95</v>
      </c>
      <c r="I501" s="2" t="s">
        <v>30</v>
      </c>
      <c r="J501" s="2" t="n">
        <v>36</v>
      </c>
      <c r="K501" s="32" t="s">
        <v>105</v>
      </c>
      <c r="L501" s="63" t="n">
        <f aca="false">SUM(V501:AB501)</f>
        <v>0.00380918109247762</v>
      </c>
      <c r="M501" s="63" t="n">
        <f aca="false">MAX(O501:U501)</f>
        <v>6.5</v>
      </c>
      <c r="N501" s="15" t="n">
        <f aca="false">COUNTIF(M501,"&gt;9.9")</f>
        <v>0</v>
      </c>
      <c r="O501" s="2" t="n">
        <v>6.5</v>
      </c>
      <c r="P501" s="2" t="n">
        <v>2.5</v>
      </c>
      <c r="V501" s="63" t="n">
        <f aca="false">PI()*POWER((O501/200),2)</f>
        <v>0.00331830724035422</v>
      </c>
      <c r="W501" s="63" t="n">
        <f aca="false">PI()*POWER((P501/200),2)</f>
        <v>0.000490873852123405</v>
      </c>
      <c r="X501" s="63" t="n">
        <f aca="false">PI()*POWER((Q501/200),2)</f>
        <v>0</v>
      </c>
      <c r="Y501" s="63" t="n">
        <f aca="false">PI()*POWER((R501/200),2)</f>
        <v>0</v>
      </c>
      <c r="Z501" s="63" t="n">
        <f aca="false">PI()*POWER((S501/200),2)</f>
        <v>0</v>
      </c>
      <c r="AA501" s="63" t="n">
        <f aca="false">PI()*POWER((T501/200),2)</f>
        <v>0</v>
      </c>
      <c r="AB501" s="63" t="n">
        <f aca="false">PI()*POWER((U501/200),2)</f>
        <v>0</v>
      </c>
    </row>
    <row r="502" customFormat="false" ht="15" hidden="false" customHeight="false" outlineLevel="0" collapsed="false">
      <c r="A502" s="2" t="s">
        <v>20</v>
      </c>
      <c r="B502" s="2" t="n">
        <v>3</v>
      </c>
      <c r="C502" s="33" t="n">
        <v>46265</v>
      </c>
      <c r="D502" s="2" t="n">
        <v>2</v>
      </c>
      <c r="E502" s="2" t="s">
        <v>26</v>
      </c>
      <c r="F502" s="2" t="s">
        <v>27</v>
      </c>
      <c r="G502" s="2" t="s">
        <v>28</v>
      </c>
      <c r="H502" s="2" t="s">
        <v>95</v>
      </c>
      <c r="I502" s="2" t="s">
        <v>30</v>
      </c>
      <c r="J502" s="2" t="n">
        <v>135</v>
      </c>
      <c r="K502" s="32" t="s">
        <v>105</v>
      </c>
      <c r="L502" s="63" t="n">
        <f aca="false">SUM(V502:AB502)</f>
        <v>0.00331830724035422</v>
      </c>
      <c r="M502" s="63" t="n">
        <f aca="false">MAX(O502:U502)</f>
        <v>6.5</v>
      </c>
      <c r="N502" s="15" t="n">
        <f aca="false">COUNTIF(M502,"&gt;9.9")</f>
        <v>0</v>
      </c>
      <c r="O502" s="2" t="n">
        <v>6.5</v>
      </c>
      <c r="V502" s="63" t="n">
        <f aca="false">PI()*POWER((O502/200),2)</f>
        <v>0.00331830724035422</v>
      </c>
      <c r="W502" s="63" t="n">
        <f aca="false">PI()*POWER((P502/200),2)</f>
        <v>0</v>
      </c>
      <c r="X502" s="63" t="n">
        <f aca="false">PI()*POWER((Q502/200),2)</f>
        <v>0</v>
      </c>
      <c r="Y502" s="63" t="n">
        <f aca="false">PI()*POWER((R502/200),2)</f>
        <v>0</v>
      </c>
      <c r="Z502" s="63" t="n">
        <f aca="false">PI()*POWER((S502/200),2)</f>
        <v>0</v>
      </c>
      <c r="AA502" s="63" t="n">
        <f aca="false">PI()*POWER((T502/200),2)</f>
        <v>0</v>
      </c>
      <c r="AB502" s="63" t="n">
        <f aca="false">PI()*POWER((U502/200),2)</f>
        <v>0</v>
      </c>
    </row>
    <row r="503" customFormat="false" ht="15" hidden="false" customHeight="false" outlineLevel="0" collapsed="false">
      <c r="A503" s="2" t="s">
        <v>20</v>
      </c>
      <c r="B503" s="2" t="n">
        <v>3</v>
      </c>
      <c r="C503" s="33" t="n">
        <v>46265</v>
      </c>
      <c r="D503" s="2" t="n">
        <v>2</v>
      </c>
      <c r="E503" s="2" t="s">
        <v>26</v>
      </c>
      <c r="F503" s="2" t="s">
        <v>27</v>
      </c>
      <c r="G503" s="2" t="s">
        <v>28</v>
      </c>
      <c r="H503" s="2" t="s">
        <v>95</v>
      </c>
      <c r="I503" s="2" t="s">
        <v>30</v>
      </c>
      <c r="J503" s="2" t="n">
        <v>44</v>
      </c>
      <c r="K503" s="32" t="s">
        <v>105</v>
      </c>
      <c r="L503" s="63" t="n">
        <f aca="false">SUM(V503:AB503)</f>
        <v>0.00342119439975929</v>
      </c>
      <c r="M503" s="63" t="n">
        <f aca="false">MAX(O503:U503)</f>
        <v>6.6</v>
      </c>
      <c r="N503" s="15" t="n">
        <f aca="false">COUNTIF(M503,"&gt;9.9")</f>
        <v>0</v>
      </c>
      <c r="O503" s="2" t="n">
        <v>6.6</v>
      </c>
      <c r="V503" s="63" t="n">
        <f aca="false">PI()*POWER((O503/200),2)</f>
        <v>0.00342119439975929</v>
      </c>
      <c r="W503" s="63" t="n">
        <f aca="false">PI()*POWER((P503/200),2)</f>
        <v>0</v>
      </c>
      <c r="X503" s="63" t="n">
        <f aca="false">PI()*POWER((Q503/200),2)</f>
        <v>0</v>
      </c>
      <c r="Y503" s="63" t="n">
        <f aca="false">PI()*POWER((R503/200),2)</f>
        <v>0</v>
      </c>
      <c r="Z503" s="63" t="n">
        <f aca="false">PI()*POWER((S503/200),2)</f>
        <v>0</v>
      </c>
      <c r="AA503" s="63" t="n">
        <f aca="false">PI()*POWER((T503/200),2)</f>
        <v>0</v>
      </c>
      <c r="AB503" s="63" t="n">
        <f aca="false">PI()*POWER((U503/200),2)</f>
        <v>0</v>
      </c>
    </row>
    <row r="504" customFormat="false" ht="15" hidden="false" customHeight="false" outlineLevel="0" collapsed="false">
      <c r="A504" s="2" t="s">
        <v>20</v>
      </c>
      <c r="B504" s="2" t="n">
        <v>3</v>
      </c>
      <c r="C504" s="33" t="n">
        <v>46265</v>
      </c>
      <c r="D504" s="2" t="n">
        <v>2</v>
      </c>
      <c r="E504" s="2" t="s">
        <v>26</v>
      </c>
      <c r="F504" s="2" t="s">
        <v>27</v>
      </c>
      <c r="G504" s="2" t="s">
        <v>28</v>
      </c>
      <c r="H504" s="2" t="s">
        <v>95</v>
      </c>
      <c r="I504" s="2" t="s">
        <v>30</v>
      </c>
      <c r="J504" s="2" t="n">
        <v>1</v>
      </c>
      <c r="K504" s="32" t="s">
        <v>105</v>
      </c>
      <c r="L504" s="63" t="n">
        <f aca="false">SUM(V504:AB504)</f>
        <v>0.0036316811075498</v>
      </c>
      <c r="M504" s="63" t="n">
        <f aca="false">MAX(O504:U504)</f>
        <v>6.8</v>
      </c>
      <c r="N504" s="15" t="n">
        <f aca="false">COUNTIF(M504,"&gt;9.9")</f>
        <v>0</v>
      </c>
      <c r="O504" s="2" t="n">
        <v>6.8</v>
      </c>
      <c r="V504" s="63" t="n">
        <f aca="false">PI()*POWER((O504/200),2)</f>
        <v>0.0036316811075498</v>
      </c>
      <c r="W504" s="63" t="n">
        <f aca="false">PI()*POWER((P504/200),2)</f>
        <v>0</v>
      </c>
      <c r="X504" s="63" t="n">
        <f aca="false">PI()*POWER((Q504/200),2)</f>
        <v>0</v>
      </c>
      <c r="Y504" s="63" t="n">
        <f aca="false">PI()*POWER((R504/200),2)</f>
        <v>0</v>
      </c>
      <c r="Z504" s="63" t="n">
        <f aca="false">PI()*POWER((S504/200),2)</f>
        <v>0</v>
      </c>
      <c r="AA504" s="63" t="n">
        <f aca="false">PI()*POWER((T504/200),2)</f>
        <v>0</v>
      </c>
      <c r="AB504" s="63" t="n">
        <f aca="false">PI()*POWER((U504/200),2)</f>
        <v>0</v>
      </c>
    </row>
    <row r="505" customFormat="false" ht="15" hidden="false" customHeight="false" outlineLevel="0" collapsed="false">
      <c r="A505" s="2" t="s">
        <v>20</v>
      </c>
      <c r="B505" s="2" t="n">
        <v>3</v>
      </c>
      <c r="C505" s="33" t="n">
        <v>46265</v>
      </c>
      <c r="D505" s="2" t="n">
        <v>2</v>
      </c>
      <c r="E505" s="2" t="s">
        <v>26</v>
      </c>
      <c r="F505" s="2" t="s">
        <v>27</v>
      </c>
      <c r="G505" s="2" t="s">
        <v>28</v>
      </c>
      <c r="H505" s="2" t="s">
        <v>95</v>
      </c>
      <c r="I505" s="2" t="s">
        <v>30</v>
      </c>
      <c r="J505" s="2" t="n">
        <v>78</v>
      </c>
      <c r="K505" s="32" t="s">
        <v>105</v>
      </c>
      <c r="L505" s="63" t="n">
        <f aca="false">SUM(V505:AB505)</f>
        <v>0.0036316811075498</v>
      </c>
      <c r="M505" s="63" t="n">
        <f aca="false">MAX(O505:U505)</f>
        <v>6.8</v>
      </c>
      <c r="N505" s="15" t="n">
        <f aca="false">COUNTIF(M505,"&gt;9.9")</f>
        <v>0</v>
      </c>
      <c r="O505" s="2" t="n">
        <v>6.8</v>
      </c>
      <c r="V505" s="63" t="n">
        <f aca="false">PI()*POWER((O505/200),2)</f>
        <v>0.0036316811075498</v>
      </c>
      <c r="W505" s="63" t="n">
        <f aca="false">PI()*POWER((P505/200),2)</f>
        <v>0</v>
      </c>
      <c r="X505" s="63" t="n">
        <f aca="false">PI()*POWER((Q505/200),2)</f>
        <v>0</v>
      </c>
      <c r="Y505" s="63" t="n">
        <f aca="false">PI()*POWER((R505/200),2)</f>
        <v>0</v>
      </c>
      <c r="Z505" s="63" t="n">
        <f aca="false">PI()*POWER((S505/200),2)</f>
        <v>0</v>
      </c>
      <c r="AA505" s="63" t="n">
        <f aca="false">PI()*POWER((T505/200),2)</f>
        <v>0</v>
      </c>
      <c r="AB505" s="63" t="n">
        <f aca="false">PI()*POWER((U505/200),2)</f>
        <v>0</v>
      </c>
    </row>
    <row r="506" customFormat="false" ht="15" hidden="false" customHeight="false" outlineLevel="0" collapsed="false">
      <c r="A506" s="2" t="s">
        <v>20</v>
      </c>
      <c r="B506" s="2" t="n">
        <v>3</v>
      </c>
      <c r="C506" s="33" t="n">
        <v>46265</v>
      </c>
      <c r="D506" s="2" t="n">
        <v>2</v>
      </c>
      <c r="E506" s="2" t="s">
        <v>26</v>
      </c>
      <c r="F506" s="2" t="s">
        <v>27</v>
      </c>
      <c r="G506" s="2" t="s">
        <v>28</v>
      </c>
      <c r="H506" s="2" t="s">
        <v>95</v>
      </c>
      <c r="I506" s="2" t="s">
        <v>30</v>
      </c>
      <c r="J506" s="2" t="n">
        <v>4</v>
      </c>
      <c r="K506" s="32" t="s">
        <v>105</v>
      </c>
      <c r="L506" s="63" t="n">
        <f aca="false">SUM(V506:AB506)</f>
        <v>0.00715183567589717</v>
      </c>
      <c r="M506" s="63" t="n">
        <f aca="false">MAX(O506:U506)</f>
        <v>7.5</v>
      </c>
      <c r="N506" s="15" t="n">
        <f aca="false">COUNTIF(M506,"&gt;9.9")</f>
        <v>0</v>
      </c>
      <c r="O506" s="2" t="n">
        <v>7.5</v>
      </c>
      <c r="P506" s="2" t="n">
        <v>5.9</v>
      </c>
      <c r="V506" s="63" t="n">
        <f aca="false">PI()*POWER((O506/200),2)</f>
        <v>0.00441786466911065</v>
      </c>
      <c r="W506" s="63" t="n">
        <f aca="false">PI()*POWER((P506/200),2)</f>
        <v>0.00273397100678652</v>
      </c>
      <c r="X506" s="63" t="n">
        <f aca="false">PI()*POWER((Q506/200),2)</f>
        <v>0</v>
      </c>
      <c r="Y506" s="63" t="n">
        <f aca="false">PI()*POWER((R506/200),2)</f>
        <v>0</v>
      </c>
      <c r="Z506" s="63" t="n">
        <f aca="false">PI()*POWER((S506/200),2)</f>
        <v>0</v>
      </c>
      <c r="AA506" s="63" t="n">
        <f aca="false">PI()*POWER((T506/200),2)</f>
        <v>0</v>
      </c>
      <c r="AB506" s="63" t="n">
        <f aca="false">PI()*POWER((U506/200),2)</f>
        <v>0</v>
      </c>
    </row>
    <row r="507" customFormat="false" ht="15" hidden="false" customHeight="false" outlineLevel="0" collapsed="false">
      <c r="A507" s="2" t="s">
        <v>20</v>
      </c>
      <c r="B507" s="2" t="n">
        <v>3</v>
      </c>
      <c r="C507" s="33" t="n">
        <v>46265</v>
      </c>
      <c r="D507" s="2" t="n">
        <v>2</v>
      </c>
      <c r="E507" s="2" t="s">
        <v>26</v>
      </c>
      <c r="F507" s="2" t="s">
        <v>27</v>
      </c>
      <c r="G507" s="2" t="s">
        <v>28</v>
      </c>
      <c r="H507" s="2" t="s">
        <v>95</v>
      </c>
      <c r="I507" s="2" t="s">
        <v>30</v>
      </c>
      <c r="J507" s="2" t="n">
        <v>131</v>
      </c>
      <c r="K507" s="32" t="s">
        <v>105</v>
      </c>
      <c r="L507" s="63" t="n">
        <f aca="false">SUM(V507:AB507)</f>
        <v>0.00441786466911065</v>
      </c>
      <c r="M507" s="63" t="n">
        <f aca="false">MAX(O507:U507)</f>
        <v>7.5</v>
      </c>
      <c r="N507" s="15" t="n">
        <f aca="false">COUNTIF(M507,"&gt;9.9")</f>
        <v>0</v>
      </c>
      <c r="O507" s="2" t="n">
        <v>7.5</v>
      </c>
      <c r="V507" s="63" t="n">
        <f aca="false">PI()*POWER((O507/200),2)</f>
        <v>0.00441786466911065</v>
      </c>
      <c r="W507" s="63" t="n">
        <f aca="false">PI()*POWER((P507/200),2)</f>
        <v>0</v>
      </c>
      <c r="X507" s="63" t="n">
        <f aca="false">PI()*POWER((Q507/200),2)</f>
        <v>0</v>
      </c>
      <c r="Y507" s="63" t="n">
        <f aca="false">PI()*POWER((R507/200),2)</f>
        <v>0</v>
      </c>
      <c r="Z507" s="63" t="n">
        <f aca="false">PI()*POWER((S507/200),2)</f>
        <v>0</v>
      </c>
      <c r="AA507" s="63" t="n">
        <f aca="false">PI()*POWER((T507/200),2)</f>
        <v>0</v>
      </c>
      <c r="AB507" s="63" t="n">
        <f aca="false">PI()*POWER((U507/200),2)</f>
        <v>0</v>
      </c>
    </row>
    <row r="508" customFormat="false" ht="15" hidden="false" customHeight="false" outlineLevel="0" collapsed="false">
      <c r="A508" s="2" t="s">
        <v>20</v>
      </c>
      <c r="B508" s="2" t="n">
        <v>3</v>
      </c>
      <c r="C508" s="33" t="n">
        <v>46265</v>
      </c>
      <c r="D508" s="2" t="n">
        <v>2</v>
      </c>
      <c r="E508" s="2" t="s">
        <v>26</v>
      </c>
      <c r="F508" s="2" t="s">
        <v>27</v>
      </c>
      <c r="G508" s="2" t="s">
        <v>28</v>
      </c>
      <c r="H508" s="2" t="s">
        <v>95</v>
      </c>
      <c r="I508" s="2" t="s">
        <v>30</v>
      </c>
      <c r="J508" s="2" t="n">
        <v>3</v>
      </c>
      <c r="K508" s="32" t="s">
        <v>105</v>
      </c>
      <c r="L508" s="63" t="n">
        <f aca="false">SUM(V508:AB508)</f>
        <v>0.00465662571078347</v>
      </c>
      <c r="M508" s="63" t="n">
        <f aca="false">MAX(O508:U508)</f>
        <v>7.7</v>
      </c>
      <c r="N508" s="15" t="n">
        <f aca="false">COUNTIF(M508,"&gt;9.9")</f>
        <v>0</v>
      </c>
      <c r="O508" s="2" t="n">
        <v>7.7</v>
      </c>
      <c r="V508" s="63" t="n">
        <f aca="false">PI()*POWER((O508/200),2)</f>
        <v>0.00465662571078347</v>
      </c>
      <c r="W508" s="63" t="n">
        <f aca="false">PI()*POWER((P508/200),2)</f>
        <v>0</v>
      </c>
      <c r="X508" s="63" t="n">
        <f aca="false">PI()*POWER((Q508/200),2)</f>
        <v>0</v>
      </c>
      <c r="Y508" s="63" t="n">
        <f aca="false">PI()*POWER((R508/200),2)</f>
        <v>0</v>
      </c>
      <c r="Z508" s="63" t="n">
        <f aca="false">PI()*POWER((S508/200),2)</f>
        <v>0</v>
      </c>
      <c r="AA508" s="63" t="n">
        <f aca="false">PI()*POWER((T508/200),2)</f>
        <v>0</v>
      </c>
      <c r="AB508" s="63" t="n">
        <f aca="false">PI()*POWER((U508/200),2)</f>
        <v>0</v>
      </c>
    </row>
    <row r="509" customFormat="false" ht="15" hidden="false" customHeight="false" outlineLevel="0" collapsed="false">
      <c r="A509" s="2" t="s">
        <v>20</v>
      </c>
      <c r="B509" s="2" t="n">
        <v>3</v>
      </c>
      <c r="C509" s="33" t="n">
        <v>46265</v>
      </c>
      <c r="D509" s="2" t="n">
        <v>2</v>
      </c>
      <c r="E509" s="2" t="s">
        <v>26</v>
      </c>
      <c r="F509" s="2" t="s">
        <v>27</v>
      </c>
      <c r="G509" s="2" t="s">
        <v>28</v>
      </c>
      <c r="H509" s="2" t="s">
        <v>95</v>
      </c>
      <c r="I509" s="2" t="s">
        <v>30</v>
      </c>
      <c r="J509" s="2" t="n">
        <v>116</v>
      </c>
      <c r="K509" s="32" t="s">
        <v>105</v>
      </c>
      <c r="L509" s="63" t="n">
        <f aca="false">SUM(V509:AB509)</f>
        <v>0.00490166993776347</v>
      </c>
      <c r="M509" s="63" t="n">
        <f aca="false">MAX(O509:U509)</f>
        <v>7.9</v>
      </c>
      <c r="N509" s="15" t="n">
        <f aca="false">COUNTIF(M509,"&gt;9.9")</f>
        <v>0</v>
      </c>
      <c r="O509" s="2" t="n">
        <v>7.9</v>
      </c>
      <c r="V509" s="63" t="n">
        <f aca="false">PI()*POWER((O509/200),2)</f>
        <v>0.00490166993776347</v>
      </c>
      <c r="W509" s="63" t="n">
        <f aca="false">PI()*POWER((P509/200),2)</f>
        <v>0</v>
      </c>
      <c r="X509" s="63" t="n">
        <f aca="false">PI()*POWER((Q509/200),2)</f>
        <v>0</v>
      </c>
      <c r="Y509" s="63" t="n">
        <f aca="false">PI()*POWER((R509/200),2)</f>
        <v>0</v>
      </c>
      <c r="Z509" s="63" t="n">
        <f aca="false">PI()*POWER((S509/200),2)</f>
        <v>0</v>
      </c>
      <c r="AA509" s="63" t="n">
        <f aca="false">PI()*POWER((T509/200),2)</f>
        <v>0</v>
      </c>
      <c r="AB509" s="63" t="n">
        <f aca="false">PI()*POWER((U509/200),2)</f>
        <v>0</v>
      </c>
    </row>
    <row r="510" customFormat="false" ht="15" hidden="false" customHeight="false" outlineLevel="0" collapsed="false">
      <c r="A510" s="2" t="s">
        <v>20</v>
      </c>
      <c r="B510" s="2" t="n">
        <v>3</v>
      </c>
      <c r="C510" s="33" t="n">
        <v>46265</v>
      </c>
      <c r="D510" s="2" t="n">
        <v>2</v>
      </c>
      <c r="E510" s="2" t="s">
        <v>26</v>
      </c>
      <c r="F510" s="2" t="s">
        <v>27</v>
      </c>
      <c r="G510" s="2" t="s">
        <v>28</v>
      </c>
      <c r="H510" s="2" t="s">
        <v>95</v>
      </c>
      <c r="I510" s="2" t="s">
        <v>30</v>
      </c>
      <c r="J510" s="2" t="n">
        <v>26</v>
      </c>
      <c r="K510" s="32" t="s">
        <v>105</v>
      </c>
      <c r="L510" s="63" t="n">
        <f aca="false">SUM(V510:AB510)</f>
        <v>0.00502654824574367</v>
      </c>
      <c r="M510" s="63" t="n">
        <f aca="false">MAX(O510:U510)</f>
        <v>8</v>
      </c>
      <c r="N510" s="15" t="n">
        <f aca="false">COUNTIF(M510,"&gt;9.9")</f>
        <v>0</v>
      </c>
      <c r="O510" s="2" t="n">
        <v>8</v>
      </c>
      <c r="V510" s="63" t="n">
        <f aca="false">PI()*POWER((O510/200),2)</f>
        <v>0.00502654824574367</v>
      </c>
      <c r="W510" s="63" t="n">
        <f aca="false">PI()*POWER((P510/200),2)</f>
        <v>0</v>
      </c>
      <c r="X510" s="63" t="n">
        <f aca="false">PI()*POWER((Q510/200),2)</f>
        <v>0</v>
      </c>
      <c r="Y510" s="63" t="n">
        <f aca="false">PI()*POWER((R510/200),2)</f>
        <v>0</v>
      </c>
      <c r="Z510" s="63" t="n">
        <f aca="false">PI()*POWER((S510/200),2)</f>
        <v>0</v>
      </c>
      <c r="AA510" s="63" t="n">
        <f aca="false">PI()*POWER((T510/200),2)</f>
        <v>0</v>
      </c>
      <c r="AB510" s="63" t="n">
        <f aca="false">PI()*POWER((U510/200),2)</f>
        <v>0</v>
      </c>
    </row>
    <row r="511" customFormat="false" ht="15" hidden="false" customHeight="false" outlineLevel="0" collapsed="false">
      <c r="A511" s="2" t="s">
        <v>20</v>
      </c>
      <c r="B511" s="2" t="n">
        <v>3</v>
      </c>
      <c r="C511" s="33" t="n">
        <v>46265</v>
      </c>
      <c r="D511" s="2" t="n">
        <v>2</v>
      </c>
      <c r="E511" s="2" t="s">
        <v>26</v>
      </c>
      <c r="F511" s="2" t="s">
        <v>27</v>
      </c>
      <c r="G511" s="2" t="s">
        <v>28</v>
      </c>
      <c r="H511" s="2" t="s">
        <v>95</v>
      </c>
      <c r="I511" s="2" t="s">
        <v>30</v>
      </c>
      <c r="J511" s="2" t="n">
        <v>18</v>
      </c>
      <c r="K511" s="32" t="s">
        <v>105</v>
      </c>
      <c r="L511" s="63" t="n">
        <f aca="false">SUM(V511:AB511)</f>
        <v>0.00922450142910303</v>
      </c>
      <c r="M511" s="63" t="n">
        <f aca="false">MAX(O511:U511)</f>
        <v>8.1</v>
      </c>
      <c r="N511" s="15" t="n">
        <f aca="false">COUNTIF(M511,"&gt;9.9")</f>
        <v>0</v>
      </c>
      <c r="O511" s="2" t="n">
        <v>8.1</v>
      </c>
      <c r="P511" s="2" t="n">
        <v>7.2</v>
      </c>
      <c r="V511" s="63" t="n">
        <f aca="false">PI()*POWER((O511/200),2)</f>
        <v>0.00515299735005066</v>
      </c>
      <c r="W511" s="63" t="n">
        <f aca="false">PI()*POWER((P511/200),2)</f>
        <v>0.00407150407905237</v>
      </c>
      <c r="X511" s="63" t="n">
        <f aca="false">PI()*POWER((Q511/200),2)</f>
        <v>0</v>
      </c>
      <c r="Y511" s="63" t="n">
        <f aca="false">PI()*POWER((R511/200),2)</f>
        <v>0</v>
      </c>
      <c r="Z511" s="63" t="n">
        <f aca="false">PI()*POWER((S511/200),2)</f>
        <v>0</v>
      </c>
      <c r="AA511" s="63" t="n">
        <f aca="false">PI()*POWER((T511/200),2)</f>
        <v>0</v>
      </c>
      <c r="AB511" s="63" t="n">
        <f aca="false">PI()*POWER((U511/200),2)</f>
        <v>0</v>
      </c>
    </row>
    <row r="512" customFormat="false" ht="15" hidden="false" customHeight="false" outlineLevel="0" collapsed="false">
      <c r="A512" s="2" t="s">
        <v>20</v>
      </c>
      <c r="B512" s="2" t="n">
        <v>3</v>
      </c>
      <c r="C512" s="33" t="n">
        <v>46265</v>
      </c>
      <c r="D512" s="2" t="n">
        <v>2</v>
      </c>
      <c r="E512" s="2" t="s">
        <v>26</v>
      </c>
      <c r="F512" s="2" t="s">
        <v>27</v>
      </c>
      <c r="G512" s="2" t="s">
        <v>28</v>
      </c>
      <c r="H512" s="2" t="s">
        <v>95</v>
      </c>
      <c r="I512" s="2" t="s">
        <v>30</v>
      </c>
      <c r="J512" s="2" t="n">
        <v>92</v>
      </c>
      <c r="K512" s="32" t="s">
        <v>105</v>
      </c>
      <c r="L512" s="63" t="n">
        <f aca="false">SUM(V512:AB512)</f>
        <v>0.00528101725068444</v>
      </c>
      <c r="M512" s="63" t="n">
        <f aca="false">MAX(O512:U512)</f>
        <v>8.2</v>
      </c>
      <c r="N512" s="15" t="n">
        <f aca="false">COUNTIF(M512,"&gt;9.9")</f>
        <v>0</v>
      </c>
      <c r="O512" s="2" t="n">
        <v>8.2</v>
      </c>
      <c r="V512" s="63" t="n">
        <f aca="false">PI()*POWER((O512/200),2)</f>
        <v>0.00528101725068444</v>
      </c>
      <c r="W512" s="63" t="n">
        <f aca="false">PI()*POWER((P512/200),2)</f>
        <v>0</v>
      </c>
      <c r="X512" s="63" t="n">
        <f aca="false">PI()*POWER((Q512/200),2)</f>
        <v>0</v>
      </c>
      <c r="Y512" s="63" t="n">
        <f aca="false">PI()*POWER((R512/200),2)</f>
        <v>0</v>
      </c>
      <c r="Z512" s="63" t="n">
        <f aca="false">PI()*POWER((S512/200),2)</f>
        <v>0</v>
      </c>
      <c r="AA512" s="63" t="n">
        <f aca="false">PI()*POWER((T512/200),2)</f>
        <v>0</v>
      </c>
      <c r="AB512" s="63" t="n">
        <f aca="false">PI()*POWER((U512/200),2)</f>
        <v>0</v>
      </c>
    </row>
    <row r="513" customFormat="false" ht="15" hidden="false" customHeight="false" outlineLevel="0" collapsed="false">
      <c r="A513" s="2" t="s">
        <v>20</v>
      </c>
      <c r="B513" s="2" t="n">
        <v>3</v>
      </c>
      <c r="C513" s="33" t="n">
        <v>46265</v>
      </c>
      <c r="D513" s="2" t="n">
        <v>2</v>
      </c>
      <c r="E513" s="2" t="s">
        <v>26</v>
      </c>
      <c r="F513" s="2" t="s">
        <v>27</v>
      </c>
      <c r="G513" s="2" t="s">
        <v>28</v>
      </c>
      <c r="H513" s="2" t="s">
        <v>95</v>
      </c>
      <c r="I513" s="2" t="s">
        <v>30</v>
      </c>
      <c r="J513" s="2" t="n">
        <v>2</v>
      </c>
      <c r="K513" s="32" t="s">
        <v>105</v>
      </c>
      <c r="L513" s="63" t="n">
        <f aca="false">SUM(V513:AB513)</f>
        <v>0.00541060794764502</v>
      </c>
      <c r="M513" s="63" t="n">
        <f aca="false">MAX(O513:U513)</f>
        <v>8.3</v>
      </c>
      <c r="N513" s="15" t="n">
        <f aca="false">COUNTIF(M513,"&gt;9.9")</f>
        <v>0</v>
      </c>
      <c r="O513" s="2" t="n">
        <v>8.3</v>
      </c>
      <c r="V513" s="63" t="n">
        <f aca="false">PI()*POWER((O513/200),2)</f>
        <v>0.00541060794764502</v>
      </c>
      <c r="W513" s="63" t="n">
        <f aca="false">PI()*POWER((P513/200),2)</f>
        <v>0</v>
      </c>
      <c r="X513" s="63" t="n">
        <f aca="false">PI()*POWER((Q513/200),2)</f>
        <v>0</v>
      </c>
      <c r="Y513" s="63" t="n">
        <f aca="false">PI()*POWER((R513/200),2)</f>
        <v>0</v>
      </c>
      <c r="Z513" s="63" t="n">
        <f aca="false">PI()*POWER((S513/200),2)</f>
        <v>0</v>
      </c>
      <c r="AA513" s="63" t="n">
        <f aca="false">PI()*POWER((T513/200),2)</f>
        <v>0</v>
      </c>
      <c r="AB513" s="63" t="n">
        <f aca="false">PI()*POWER((U513/200),2)</f>
        <v>0</v>
      </c>
    </row>
    <row r="514" customFormat="false" ht="15" hidden="false" customHeight="false" outlineLevel="0" collapsed="false">
      <c r="A514" s="2" t="s">
        <v>20</v>
      </c>
      <c r="B514" s="2" t="n">
        <v>3</v>
      </c>
      <c r="C514" s="33" t="n">
        <v>46265</v>
      </c>
      <c r="D514" s="2" t="n">
        <v>2</v>
      </c>
      <c r="E514" s="2" t="s">
        <v>26</v>
      </c>
      <c r="F514" s="2" t="s">
        <v>27</v>
      </c>
      <c r="G514" s="2" t="s">
        <v>28</v>
      </c>
      <c r="H514" s="2" t="s">
        <v>95</v>
      </c>
      <c r="I514" s="2" t="s">
        <v>30</v>
      </c>
      <c r="J514" s="2" t="n">
        <v>81</v>
      </c>
      <c r="K514" s="32" t="s">
        <v>105</v>
      </c>
      <c r="L514" s="63" t="n">
        <f aca="false">SUM(V514:AB514)</f>
        <v>0.00636172512351933</v>
      </c>
      <c r="M514" s="63" t="n">
        <f aca="false">MAX(O514:U514)</f>
        <v>9</v>
      </c>
      <c r="N514" s="15" t="n">
        <f aca="false">COUNTIF(M514,"&gt;9.9")</f>
        <v>0</v>
      </c>
      <c r="O514" s="2" t="n">
        <v>9</v>
      </c>
      <c r="V514" s="63" t="n">
        <f aca="false">PI()*POWER((O514/200),2)</f>
        <v>0.00636172512351933</v>
      </c>
      <c r="W514" s="63" t="n">
        <f aca="false">PI()*POWER((P514/200),2)</f>
        <v>0</v>
      </c>
      <c r="X514" s="63" t="n">
        <f aca="false">PI()*POWER((Q514/200),2)</f>
        <v>0</v>
      </c>
      <c r="Y514" s="63" t="n">
        <f aca="false">PI()*POWER((R514/200),2)</f>
        <v>0</v>
      </c>
      <c r="Z514" s="63" t="n">
        <f aca="false">PI()*POWER((S514/200),2)</f>
        <v>0</v>
      </c>
      <c r="AA514" s="63" t="n">
        <f aca="false">PI()*POWER((T514/200),2)</f>
        <v>0</v>
      </c>
      <c r="AB514" s="63" t="n">
        <f aca="false">PI()*POWER((U514/200),2)</f>
        <v>0</v>
      </c>
    </row>
    <row r="515" customFormat="false" ht="15" hidden="false" customHeight="false" outlineLevel="0" collapsed="false">
      <c r="A515" s="2" t="s">
        <v>20</v>
      </c>
      <c r="B515" s="2" t="n">
        <v>3</v>
      </c>
      <c r="C515" s="33" t="n">
        <v>46265</v>
      </c>
      <c r="D515" s="2" t="n">
        <v>2</v>
      </c>
      <c r="E515" s="2" t="s">
        <v>26</v>
      </c>
      <c r="F515" s="2" t="s">
        <v>27</v>
      </c>
      <c r="G515" s="2" t="s">
        <v>28</v>
      </c>
      <c r="H515" s="2" t="s">
        <v>95</v>
      </c>
      <c r="I515" s="2" t="s">
        <v>30</v>
      </c>
      <c r="J515" s="2" t="n">
        <v>101</v>
      </c>
      <c r="K515" s="32" t="s">
        <v>105</v>
      </c>
      <c r="L515" s="63" t="n">
        <f aca="false">SUM(V515:AB515)</f>
        <v>0.00708821842466197</v>
      </c>
      <c r="M515" s="63" t="n">
        <f aca="false">MAX(O515:U515)</f>
        <v>9.5</v>
      </c>
      <c r="N515" s="15" t="n">
        <f aca="false">COUNTIF(M515,"&gt;9.9")</f>
        <v>0</v>
      </c>
      <c r="O515" s="2" t="n">
        <v>9.5</v>
      </c>
      <c r="V515" s="63" t="n">
        <f aca="false">PI()*POWER((O515/200),2)</f>
        <v>0.00708821842466197</v>
      </c>
      <c r="W515" s="63" t="n">
        <f aca="false">PI()*POWER((P515/200),2)</f>
        <v>0</v>
      </c>
      <c r="X515" s="63" t="n">
        <f aca="false">PI()*POWER((Q515/200),2)</f>
        <v>0</v>
      </c>
      <c r="Y515" s="63" t="n">
        <f aca="false">PI()*POWER((R515/200),2)</f>
        <v>0</v>
      </c>
      <c r="Z515" s="63" t="n">
        <f aca="false">PI()*POWER((S515/200),2)</f>
        <v>0</v>
      </c>
      <c r="AA515" s="63" t="n">
        <f aca="false">PI()*POWER((T515/200),2)</f>
        <v>0</v>
      </c>
      <c r="AB515" s="63" t="n">
        <f aca="false">PI()*POWER((U515/200),2)</f>
        <v>0</v>
      </c>
    </row>
    <row r="516" customFormat="false" ht="15" hidden="false" customHeight="false" outlineLevel="0" collapsed="false">
      <c r="A516" s="2" t="s">
        <v>20</v>
      </c>
      <c r="B516" s="2" t="n">
        <v>3</v>
      </c>
      <c r="C516" s="33" t="n">
        <v>46265</v>
      </c>
      <c r="D516" s="2" t="n">
        <v>2</v>
      </c>
      <c r="E516" s="2" t="s">
        <v>26</v>
      </c>
      <c r="F516" s="2" t="s">
        <v>27</v>
      </c>
      <c r="G516" s="2" t="s">
        <v>28</v>
      </c>
      <c r="H516" s="2" t="s">
        <v>95</v>
      </c>
      <c r="I516" s="2" t="s">
        <v>30</v>
      </c>
      <c r="J516" s="2" t="n">
        <v>32</v>
      </c>
      <c r="K516" s="32" t="s">
        <v>105</v>
      </c>
      <c r="L516" s="63" t="n">
        <f aca="false">SUM(V516:AB516)</f>
        <v>0.0129127312044174</v>
      </c>
      <c r="M516" s="63" t="n">
        <f aca="false">MAX(O516:U516)</f>
        <v>9.6</v>
      </c>
      <c r="N516" s="15" t="n">
        <f aca="false">COUNTIF(M516,"&gt;9.9")</f>
        <v>0</v>
      </c>
      <c r="O516" s="2" t="n">
        <v>9.6</v>
      </c>
      <c r="P516" s="2" t="n">
        <v>8.5</v>
      </c>
      <c r="V516" s="63" t="n">
        <f aca="false">PI()*POWER((O516/200),2)</f>
        <v>0.00723822947387088</v>
      </c>
      <c r="W516" s="63" t="n">
        <f aca="false">PI()*POWER((P516/200),2)</f>
        <v>0.00567450173054657</v>
      </c>
      <c r="X516" s="63" t="n">
        <f aca="false">PI()*POWER((Q516/200),2)</f>
        <v>0</v>
      </c>
      <c r="Y516" s="63" t="n">
        <f aca="false">PI()*POWER((R516/200),2)</f>
        <v>0</v>
      </c>
      <c r="Z516" s="63" t="n">
        <f aca="false">PI()*POWER((S516/200),2)</f>
        <v>0</v>
      </c>
      <c r="AA516" s="63" t="n">
        <f aca="false">PI()*POWER((T516/200),2)</f>
        <v>0</v>
      </c>
      <c r="AB516" s="63" t="n">
        <f aca="false">PI()*POWER((U516/200),2)</f>
        <v>0</v>
      </c>
    </row>
    <row r="517" customFormat="false" ht="15" hidden="false" customHeight="false" outlineLevel="0" collapsed="false">
      <c r="A517" s="2" t="s">
        <v>20</v>
      </c>
      <c r="B517" s="2" t="n">
        <v>3</v>
      </c>
      <c r="C517" s="33" t="n">
        <v>46265</v>
      </c>
      <c r="D517" s="2" t="n">
        <v>2</v>
      </c>
      <c r="E517" s="2" t="s">
        <v>26</v>
      </c>
      <c r="F517" s="2" t="s">
        <v>27</v>
      </c>
      <c r="G517" s="2" t="s">
        <v>28</v>
      </c>
      <c r="H517" s="2" t="s">
        <v>95</v>
      </c>
      <c r="I517" s="2" t="s">
        <v>30</v>
      </c>
      <c r="J517" s="2" t="n">
        <v>82</v>
      </c>
      <c r="K517" s="32" t="s">
        <v>105</v>
      </c>
      <c r="L517" s="63" t="n">
        <f aca="false">SUM(V517:AB517)</f>
        <v>0.00785398163397448</v>
      </c>
      <c r="M517" s="63" t="n">
        <f aca="false">MAX(O517:U517)</f>
        <v>10</v>
      </c>
      <c r="N517" s="15" t="n">
        <f aca="false">COUNTIF(M517,"&gt;9.9")</f>
        <v>1</v>
      </c>
      <c r="O517" s="2" t="n">
        <v>10</v>
      </c>
      <c r="V517" s="63" t="n">
        <f aca="false">PI()*POWER((O517/200),2)</f>
        <v>0.00785398163397448</v>
      </c>
      <c r="W517" s="63" t="n">
        <f aca="false">PI()*POWER((P517/200),2)</f>
        <v>0</v>
      </c>
      <c r="X517" s="63" t="n">
        <f aca="false">PI()*POWER((Q517/200),2)</f>
        <v>0</v>
      </c>
      <c r="Y517" s="63" t="n">
        <f aca="false">PI()*POWER((R517/200),2)</f>
        <v>0</v>
      </c>
      <c r="Z517" s="63" t="n">
        <f aca="false">PI()*POWER((S517/200),2)</f>
        <v>0</v>
      </c>
      <c r="AA517" s="63" t="n">
        <f aca="false">PI()*POWER((T517/200),2)</f>
        <v>0</v>
      </c>
      <c r="AB517" s="63" t="n">
        <f aca="false">PI()*POWER((U517/200),2)</f>
        <v>0</v>
      </c>
    </row>
    <row r="518" customFormat="false" ht="15" hidden="false" customHeight="false" outlineLevel="0" collapsed="false">
      <c r="A518" s="2" t="s">
        <v>20</v>
      </c>
      <c r="B518" s="2" t="n">
        <v>3</v>
      </c>
      <c r="C518" s="33" t="n">
        <v>46265</v>
      </c>
      <c r="D518" s="2" t="n">
        <v>2</v>
      </c>
      <c r="E518" s="2" t="s">
        <v>26</v>
      </c>
      <c r="F518" s="2" t="s">
        <v>27</v>
      </c>
      <c r="G518" s="2" t="s">
        <v>28</v>
      </c>
      <c r="H518" s="2" t="s">
        <v>95</v>
      </c>
      <c r="I518" s="2" t="s">
        <v>30</v>
      </c>
      <c r="J518" s="2" t="n">
        <v>132</v>
      </c>
      <c r="K518" s="32" t="s">
        <v>105</v>
      </c>
      <c r="L518" s="63" t="n">
        <f aca="false">SUM(V518:AB518)</f>
        <v>0.00785398163397448</v>
      </c>
      <c r="M518" s="63" t="n">
        <f aca="false">MAX(O518:U518)</f>
        <v>10</v>
      </c>
      <c r="N518" s="15" t="n">
        <f aca="false">COUNTIF(M518,"&gt;9.9")</f>
        <v>1</v>
      </c>
      <c r="O518" s="2" t="n">
        <v>10</v>
      </c>
      <c r="V518" s="63" t="n">
        <f aca="false">PI()*POWER((O518/200),2)</f>
        <v>0.00785398163397448</v>
      </c>
      <c r="W518" s="63" t="n">
        <f aca="false">PI()*POWER((P518/200),2)</f>
        <v>0</v>
      </c>
      <c r="X518" s="63" t="n">
        <f aca="false">PI()*POWER((Q518/200),2)</f>
        <v>0</v>
      </c>
      <c r="Y518" s="63" t="n">
        <f aca="false">PI()*POWER((R518/200),2)</f>
        <v>0</v>
      </c>
      <c r="Z518" s="63" t="n">
        <f aca="false">PI()*POWER((S518/200),2)</f>
        <v>0</v>
      </c>
      <c r="AA518" s="63" t="n">
        <f aca="false">PI()*POWER((T518/200),2)</f>
        <v>0</v>
      </c>
      <c r="AB518" s="63" t="n">
        <f aca="false">PI()*POWER((U518/200),2)</f>
        <v>0</v>
      </c>
    </row>
    <row r="519" customFormat="false" ht="15" hidden="false" customHeight="false" outlineLevel="0" collapsed="false">
      <c r="A519" s="2" t="s">
        <v>20</v>
      </c>
      <c r="B519" s="2" t="n">
        <v>3</v>
      </c>
      <c r="C519" s="33" t="n">
        <v>46265</v>
      </c>
      <c r="D519" s="2" t="n">
        <v>2</v>
      </c>
      <c r="E519" s="2" t="s">
        <v>26</v>
      </c>
      <c r="F519" s="2" t="s">
        <v>27</v>
      </c>
      <c r="G519" s="2" t="s">
        <v>28</v>
      </c>
      <c r="H519" s="2" t="s">
        <v>95</v>
      </c>
      <c r="I519" s="2" t="s">
        <v>30</v>
      </c>
      <c r="J519" s="2" t="n">
        <v>14</v>
      </c>
      <c r="K519" s="32" t="s">
        <v>105</v>
      </c>
      <c r="L519" s="63" t="n">
        <f aca="false">SUM(V519:AB519)</f>
        <v>0.00817128249198705</v>
      </c>
      <c r="M519" s="63" t="n">
        <f aca="false">MAX(O519:U519)</f>
        <v>10.2</v>
      </c>
      <c r="N519" s="15" t="n">
        <f aca="false">COUNTIF(M519,"&gt;9.9")</f>
        <v>1</v>
      </c>
      <c r="O519" s="2" t="n">
        <v>10.2</v>
      </c>
      <c r="V519" s="63" t="n">
        <f aca="false">PI()*POWER((O519/200),2)</f>
        <v>0.00817128249198705</v>
      </c>
      <c r="W519" s="63" t="n">
        <f aca="false">PI()*POWER((P519/200),2)</f>
        <v>0</v>
      </c>
      <c r="X519" s="63" t="n">
        <f aca="false">PI()*POWER((Q519/200),2)</f>
        <v>0</v>
      </c>
      <c r="Y519" s="63" t="n">
        <f aca="false">PI()*POWER((R519/200),2)</f>
        <v>0</v>
      </c>
      <c r="Z519" s="63" t="n">
        <f aca="false">PI()*POWER((S519/200),2)</f>
        <v>0</v>
      </c>
      <c r="AA519" s="63" t="n">
        <f aca="false">PI()*POWER((T519/200),2)</f>
        <v>0</v>
      </c>
      <c r="AB519" s="63" t="n">
        <f aca="false">PI()*POWER((U519/200),2)</f>
        <v>0</v>
      </c>
    </row>
    <row r="520" customFormat="false" ht="15" hidden="false" customHeight="false" outlineLevel="0" collapsed="false">
      <c r="A520" s="2" t="s">
        <v>20</v>
      </c>
      <c r="B520" s="2" t="n">
        <v>3</v>
      </c>
      <c r="C520" s="33" t="n">
        <v>46265</v>
      </c>
      <c r="D520" s="2" t="n">
        <v>2</v>
      </c>
      <c r="E520" s="2" t="s">
        <v>26</v>
      </c>
      <c r="F520" s="2" t="s">
        <v>27</v>
      </c>
      <c r="G520" s="2" t="s">
        <v>28</v>
      </c>
      <c r="H520" s="2" t="s">
        <v>95</v>
      </c>
      <c r="I520" s="2" t="s">
        <v>30</v>
      </c>
      <c r="J520" s="2" t="n">
        <v>22</v>
      </c>
      <c r="K520" s="32" t="s">
        <v>105</v>
      </c>
      <c r="L520" s="63" t="n">
        <f aca="false">SUM(V520:AB520)</f>
        <v>0.00882473376393373</v>
      </c>
      <c r="M520" s="63" t="n">
        <f aca="false">MAX(O520:U520)</f>
        <v>10.6</v>
      </c>
      <c r="N520" s="15" t="n">
        <f aca="false">COUNTIF(M520,"&gt;9.9")</f>
        <v>1</v>
      </c>
      <c r="O520" s="2" t="n">
        <v>10.6</v>
      </c>
      <c r="V520" s="63" t="n">
        <f aca="false">PI()*POWER((O520/200),2)</f>
        <v>0.00882473376393373</v>
      </c>
      <c r="W520" s="63" t="n">
        <f aca="false">PI()*POWER((P520/200),2)</f>
        <v>0</v>
      </c>
      <c r="X520" s="63" t="n">
        <f aca="false">PI()*POWER((Q520/200),2)</f>
        <v>0</v>
      </c>
      <c r="Y520" s="63" t="n">
        <f aca="false">PI()*POWER((R520/200),2)</f>
        <v>0</v>
      </c>
      <c r="Z520" s="63" t="n">
        <f aca="false">PI()*POWER((S520/200),2)</f>
        <v>0</v>
      </c>
      <c r="AA520" s="63" t="n">
        <f aca="false">PI()*POWER((T520/200),2)</f>
        <v>0</v>
      </c>
      <c r="AB520" s="63" t="n">
        <f aca="false">PI()*POWER((U520/200),2)</f>
        <v>0</v>
      </c>
    </row>
    <row r="521" customFormat="false" ht="15" hidden="false" customHeight="false" outlineLevel="0" collapsed="false">
      <c r="A521" s="2" t="s">
        <v>20</v>
      </c>
      <c r="B521" s="2" t="n">
        <v>3</v>
      </c>
      <c r="C521" s="33" t="n">
        <v>46265</v>
      </c>
      <c r="D521" s="2" t="n">
        <v>2</v>
      </c>
      <c r="E521" s="2" t="s">
        <v>26</v>
      </c>
      <c r="F521" s="2" t="s">
        <v>27</v>
      </c>
      <c r="G521" s="2" t="s">
        <v>28</v>
      </c>
      <c r="H521" s="2" t="s">
        <v>95</v>
      </c>
      <c r="I521" s="2" t="s">
        <v>30</v>
      </c>
      <c r="J521" s="2" t="n">
        <v>34</v>
      </c>
      <c r="K521" s="32" t="s">
        <v>105</v>
      </c>
      <c r="L521" s="63" t="n">
        <f aca="false">SUM(V521:AB521)</f>
        <v>0.0124132179724967</v>
      </c>
      <c r="M521" s="63" t="n">
        <f aca="false">MAX(O521:U521)</f>
        <v>12.3</v>
      </c>
      <c r="N521" s="15" t="n">
        <f aca="false">COUNTIF(M521,"&gt;9.9")</f>
        <v>1</v>
      </c>
      <c r="O521" s="2" t="n">
        <v>12.3</v>
      </c>
      <c r="P521" s="2" t="n">
        <v>2.6</v>
      </c>
      <c r="V521" s="63" t="n">
        <f aca="false">PI()*POWER((O521/200),2)</f>
        <v>0.01188228881404</v>
      </c>
      <c r="W521" s="63" t="n">
        <f aca="false">PI()*POWER((P521/200),2)</f>
        <v>0.000530929158456675</v>
      </c>
      <c r="X521" s="63" t="n">
        <f aca="false">PI()*POWER((Q521/200),2)</f>
        <v>0</v>
      </c>
      <c r="Y521" s="63" t="n">
        <f aca="false">PI()*POWER((R521/200),2)</f>
        <v>0</v>
      </c>
      <c r="Z521" s="63" t="n">
        <f aca="false">PI()*POWER((S521/200),2)</f>
        <v>0</v>
      </c>
      <c r="AA521" s="63" t="n">
        <f aca="false">PI()*POWER((T521/200),2)</f>
        <v>0</v>
      </c>
      <c r="AB521" s="63" t="n">
        <f aca="false">PI()*POWER((U521/200),2)</f>
        <v>0</v>
      </c>
    </row>
    <row r="522" customFormat="false" ht="15" hidden="false" customHeight="false" outlineLevel="0" collapsed="false">
      <c r="A522" s="2" t="s">
        <v>20</v>
      </c>
      <c r="B522" s="2" t="n">
        <v>3</v>
      </c>
      <c r="C522" s="33" t="n">
        <v>46265</v>
      </c>
      <c r="D522" s="2" t="n">
        <v>2</v>
      </c>
      <c r="E522" s="2" t="s">
        <v>26</v>
      </c>
      <c r="F522" s="2" t="s">
        <v>27</v>
      </c>
      <c r="G522" s="2" t="s">
        <v>28</v>
      </c>
      <c r="H522" s="2" t="s">
        <v>95</v>
      </c>
      <c r="I522" s="2" t="s">
        <v>30</v>
      </c>
      <c r="J522" s="2" t="n">
        <v>106</v>
      </c>
      <c r="K522" s="32" t="s">
        <v>105</v>
      </c>
      <c r="L522" s="63" t="n">
        <f aca="false">SUM(V522:AB522)</f>
        <v>0.0132732289614169</v>
      </c>
      <c r="M522" s="63" t="n">
        <f aca="false">MAX(O522:U522)</f>
        <v>13</v>
      </c>
      <c r="N522" s="15" t="n">
        <f aca="false">COUNTIF(M522,"&gt;9.9")</f>
        <v>1</v>
      </c>
      <c r="O522" s="2" t="n">
        <v>13</v>
      </c>
      <c r="V522" s="63" t="n">
        <f aca="false">PI()*POWER((O522/200),2)</f>
        <v>0.0132732289614169</v>
      </c>
      <c r="W522" s="63" t="n">
        <f aca="false">PI()*POWER((P522/200),2)</f>
        <v>0</v>
      </c>
      <c r="X522" s="63" t="n">
        <f aca="false">PI()*POWER((Q522/200),2)</f>
        <v>0</v>
      </c>
      <c r="Y522" s="63" t="n">
        <f aca="false">PI()*POWER((R522/200),2)</f>
        <v>0</v>
      </c>
      <c r="Z522" s="63" t="n">
        <f aca="false">PI()*POWER((S522/200),2)</f>
        <v>0</v>
      </c>
      <c r="AA522" s="63" t="n">
        <f aca="false">PI()*POWER((T522/200),2)</f>
        <v>0</v>
      </c>
      <c r="AB522" s="63" t="n">
        <f aca="false">PI()*POWER((U522/200),2)</f>
        <v>0</v>
      </c>
    </row>
    <row r="523" customFormat="false" ht="15" hidden="false" customHeight="false" outlineLevel="0" collapsed="false">
      <c r="A523" s="2" t="s">
        <v>20</v>
      </c>
      <c r="B523" s="2" t="n">
        <v>3</v>
      </c>
      <c r="C523" s="33" t="n">
        <v>46265</v>
      </c>
      <c r="D523" s="2" t="n">
        <v>2</v>
      </c>
      <c r="E523" s="2" t="s">
        <v>26</v>
      </c>
      <c r="F523" s="2" t="s">
        <v>27</v>
      </c>
      <c r="G523" s="2" t="s">
        <v>28</v>
      </c>
      <c r="H523" s="2" t="s">
        <v>95</v>
      </c>
      <c r="I523" s="2" t="s">
        <v>30</v>
      </c>
      <c r="J523" s="2" t="n">
        <v>23</v>
      </c>
      <c r="K523" s="32" t="s">
        <v>105</v>
      </c>
      <c r="L523" s="63" t="n">
        <f aca="false">SUM(V523:AB523)</f>
        <v>0.0138929081123375</v>
      </c>
      <c r="M523" s="63" t="n">
        <f aca="false">MAX(O523:U523)</f>
        <v>13.3</v>
      </c>
      <c r="N523" s="15" t="n">
        <f aca="false">COUNTIF(M523,"&gt;9.9")</f>
        <v>1</v>
      </c>
      <c r="O523" s="2" t="n">
        <v>13.3</v>
      </c>
      <c r="V523" s="63" t="n">
        <f aca="false">PI()*POWER((O523/200),2)</f>
        <v>0.0138929081123375</v>
      </c>
      <c r="W523" s="63" t="n">
        <f aca="false">PI()*POWER((P523/200),2)</f>
        <v>0</v>
      </c>
      <c r="X523" s="63" t="n">
        <f aca="false">PI()*POWER((Q523/200),2)</f>
        <v>0</v>
      </c>
      <c r="Y523" s="63" t="n">
        <f aca="false">PI()*POWER((R523/200),2)</f>
        <v>0</v>
      </c>
      <c r="Z523" s="63" t="n">
        <f aca="false">PI()*POWER((S523/200),2)</f>
        <v>0</v>
      </c>
      <c r="AA523" s="63" t="n">
        <f aca="false">PI()*POWER((T523/200),2)</f>
        <v>0</v>
      </c>
      <c r="AB523" s="63" t="n">
        <f aca="false">PI()*POWER((U523/200),2)</f>
        <v>0</v>
      </c>
    </row>
    <row r="524" customFormat="false" ht="15" hidden="false" customHeight="false" outlineLevel="0" collapsed="false">
      <c r="A524" s="2" t="s">
        <v>20</v>
      </c>
      <c r="B524" s="2" t="n">
        <v>3</v>
      </c>
      <c r="C524" s="33" t="n">
        <v>46265</v>
      </c>
      <c r="D524" s="2" t="n">
        <v>2</v>
      </c>
      <c r="E524" s="2" t="s">
        <v>26</v>
      </c>
      <c r="F524" s="2" t="s">
        <v>27</v>
      </c>
      <c r="G524" s="2" t="s">
        <v>28</v>
      </c>
      <c r="H524" s="2" t="s">
        <v>95</v>
      </c>
      <c r="I524" s="2" t="s">
        <v>30</v>
      </c>
      <c r="J524" s="2" t="n">
        <v>99</v>
      </c>
      <c r="K524" s="32" t="s">
        <v>105</v>
      </c>
      <c r="L524" s="63" t="n">
        <f aca="false">SUM(V524:AB524)</f>
        <v>0.0143138815279185</v>
      </c>
      <c r="M524" s="63" t="n">
        <f aca="false">MAX(O524:U524)</f>
        <v>13.5</v>
      </c>
      <c r="N524" s="15" t="n">
        <f aca="false">COUNTIF(M524,"&gt;9.9")</f>
        <v>1</v>
      </c>
      <c r="O524" s="2" t="n">
        <v>13.5</v>
      </c>
      <c r="V524" s="63" t="n">
        <f aca="false">PI()*POWER((O524/200),2)</f>
        <v>0.0143138815279185</v>
      </c>
      <c r="W524" s="63" t="n">
        <f aca="false">PI()*POWER((P524/200),2)</f>
        <v>0</v>
      </c>
      <c r="X524" s="63" t="n">
        <f aca="false">PI()*POWER((Q524/200),2)</f>
        <v>0</v>
      </c>
      <c r="Y524" s="63" t="n">
        <f aca="false">PI()*POWER((R524/200),2)</f>
        <v>0</v>
      </c>
      <c r="Z524" s="63" t="n">
        <f aca="false">PI()*POWER((S524/200),2)</f>
        <v>0</v>
      </c>
      <c r="AA524" s="63" t="n">
        <f aca="false">PI()*POWER((T524/200),2)</f>
        <v>0</v>
      </c>
      <c r="AB524" s="63" t="n">
        <f aca="false">PI()*POWER((U524/200),2)</f>
        <v>0</v>
      </c>
    </row>
    <row r="525" customFormat="false" ht="15" hidden="false" customHeight="false" outlineLevel="0" collapsed="false">
      <c r="A525" s="2" t="s">
        <v>20</v>
      </c>
      <c r="B525" s="2" t="n">
        <v>3</v>
      </c>
      <c r="C525" s="33" t="n">
        <v>46265</v>
      </c>
      <c r="D525" s="2" t="n">
        <v>2</v>
      </c>
      <c r="E525" s="2" t="s">
        <v>26</v>
      </c>
      <c r="F525" s="2" t="s">
        <v>27</v>
      </c>
      <c r="G525" s="2" t="s">
        <v>28</v>
      </c>
      <c r="H525" s="2" t="s">
        <v>95</v>
      </c>
      <c r="I525" s="2" t="s">
        <v>30</v>
      </c>
      <c r="J525" s="2" t="n">
        <v>86</v>
      </c>
      <c r="K525" s="32" t="s">
        <v>105</v>
      </c>
      <c r="L525" s="63" t="n">
        <f aca="false">SUM(V525:AB525)</f>
        <v>0.0151746779150021</v>
      </c>
      <c r="M525" s="63" t="n">
        <f aca="false">MAX(O525:U525)</f>
        <v>13.9</v>
      </c>
      <c r="N525" s="15" t="n">
        <f aca="false">COUNTIF(M525,"&gt;9.9")</f>
        <v>1</v>
      </c>
      <c r="O525" s="2" t="n">
        <v>13.9</v>
      </c>
      <c r="V525" s="63" t="n">
        <f aca="false">PI()*POWER((O525/200),2)</f>
        <v>0.0151746779150021</v>
      </c>
      <c r="W525" s="63" t="n">
        <f aca="false">PI()*POWER((P525/200),2)</f>
        <v>0</v>
      </c>
      <c r="X525" s="63" t="n">
        <f aca="false">PI()*POWER((Q525/200),2)</f>
        <v>0</v>
      </c>
      <c r="Y525" s="63" t="n">
        <f aca="false">PI()*POWER((R525/200),2)</f>
        <v>0</v>
      </c>
      <c r="Z525" s="63" t="n">
        <f aca="false">PI()*POWER((S525/200),2)</f>
        <v>0</v>
      </c>
      <c r="AA525" s="63" t="n">
        <f aca="false">PI()*POWER((T525/200),2)</f>
        <v>0</v>
      </c>
      <c r="AB525" s="63" t="n">
        <f aca="false">PI()*POWER((U525/200),2)</f>
        <v>0</v>
      </c>
    </row>
    <row r="526" customFormat="false" ht="15" hidden="false" customHeight="false" outlineLevel="0" collapsed="false">
      <c r="A526" s="2" t="s">
        <v>20</v>
      </c>
      <c r="B526" s="2" t="n">
        <v>3</v>
      </c>
      <c r="C526" s="33" t="n">
        <v>46265</v>
      </c>
      <c r="D526" s="2" t="n">
        <v>2</v>
      </c>
      <c r="E526" s="2" t="s">
        <v>26</v>
      </c>
      <c r="F526" s="2" t="s">
        <v>27</v>
      </c>
      <c r="G526" s="2" t="s">
        <v>28</v>
      </c>
      <c r="H526" s="2" t="s">
        <v>95</v>
      </c>
      <c r="I526" s="2" t="s">
        <v>30</v>
      </c>
      <c r="J526" s="2" t="n">
        <v>83</v>
      </c>
      <c r="K526" s="32" t="s">
        <v>105</v>
      </c>
      <c r="L526" s="63" t="n">
        <f aca="false">SUM(V526:AB526)</f>
        <v>0.0181458391671346</v>
      </c>
      <c r="M526" s="63" t="n">
        <f aca="false">MAX(O526:U526)</f>
        <v>15.2</v>
      </c>
      <c r="N526" s="15" t="n">
        <f aca="false">COUNTIF(M526,"&gt;9.9")</f>
        <v>1</v>
      </c>
      <c r="O526" s="2" t="n">
        <v>15.2</v>
      </c>
      <c r="V526" s="63" t="n">
        <f aca="false">PI()*POWER((O526/200),2)</f>
        <v>0.0181458391671346</v>
      </c>
      <c r="W526" s="63" t="n">
        <f aca="false">PI()*POWER((P526/200),2)</f>
        <v>0</v>
      </c>
      <c r="X526" s="63" t="n">
        <f aca="false">PI()*POWER((Q526/200),2)</f>
        <v>0</v>
      </c>
      <c r="Y526" s="63" t="n">
        <f aca="false">PI()*POWER((R526/200),2)</f>
        <v>0</v>
      </c>
      <c r="Z526" s="63" t="n">
        <f aca="false">PI()*POWER((S526/200),2)</f>
        <v>0</v>
      </c>
      <c r="AA526" s="63" t="n">
        <f aca="false">PI()*POWER((T526/200),2)</f>
        <v>0</v>
      </c>
      <c r="AB526" s="63" t="n">
        <f aca="false">PI()*POWER((U526/200),2)</f>
        <v>0</v>
      </c>
    </row>
    <row r="527" customFormat="false" ht="15" hidden="false" customHeight="false" outlineLevel="0" collapsed="false">
      <c r="A527" s="2" t="s">
        <v>20</v>
      </c>
      <c r="B527" s="2" t="n">
        <v>3</v>
      </c>
      <c r="C527" s="33" t="n">
        <v>46265</v>
      </c>
      <c r="D527" s="2" t="n">
        <v>2</v>
      </c>
      <c r="E527" s="2" t="s">
        <v>26</v>
      </c>
      <c r="F527" s="2" t="s">
        <v>27</v>
      </c>
      <c r="G527" s="2" t="s">
        <v>28</v>
      </c>
      <c r="H527" s="2" t="s">
        <v>95</v>
      </c>
      <c r="I527" s="2" t="s">
        <v>30</v>
      </c>
      <c r="J527" s="2" t="n">
        <v>5</v>
      </c>
      <c r="K527" s="32" t="s">
        <v>105</v>
      </c>
      <c r="L527" s="63" t="n">
        <f aca="false">SUM(V527:AB527)</f>
        <v>0.0201061929829747</v>
      </c>
      <c r="M527" s="63" t="n">
        <f aca="false">MAX(O527:U527)</f>
        <v>16</v>
      </c>
      <c r="N527" s="15" t="n">
        <f aca="false">COUNTIF(M527,"&gt;9.9")</f>
        <v>1</v>
      </c>
      <c r="O527" s="2" t="n">
        <v>16</v>
      </c>
      <c r="V527" s="63" t="n">
        <f aca="false">PI()*POWER((O527/200),2)</f>
        <v>0.0201061929829747</v>
      </c>
      <c r="W527" s="63" t="n">
        <f aca="false">PI()*POWER((P527/200),2)</f>
        <v>0</v>
      </c>
      <c r="X527" s="63" t="n">
        <f aca="false">PI()*POWER((Q527/200),2)</f>
        <v>0</v>
      </c>
      <c r="Y527" s="63" t="n">
        <f aca="false">PI()*POWER((R527/200),2)</f>
        <v>0</v>
      </c>
      <c r="Z527" s="63" t="n">
        <f aca="false">PI()*POWER((S527/200),2)</f>
        <v>0</v>
      </c>
      <c r="AA527" s="63" t="n">
        <f aca="false">PI()*POWER((T527/200),2)</f>
        <v>0</v>
      </c>
      <c r="AB527" s="63" t="n">
        <f aca="false">PI()*POWER((U527/200),2)</f>
        <v>0</v>
      </c>
    </row>
    <row r="528" customFormat="false" ht="15" hidden="false" customHeight="false" outlineLevel="0" collapsed="false">
      <c r="A528" s="2" t="s">
        <v>20</v>
      </c>
      <c r="B528" s="2" t="n">
        <v>3</v>
      </c>
      <c r="C528" s="33" t="n">
        <v>46265</v>
      </c>
      <c r="D528" s="2" t="n">
        <v>2</v>
      </c>
      <c r="E528" s="2" t="s">
        <v>26</v>
      </c>
      <c r="F528" s="2" t="s">
        <v>27</v>
      </c>
      <c r="G528" s="2" t="s">
        <v>28</v>
      </c>
      <c r="H528" s="2" t="s">
        <v>95</v>
      </c>
      <c r="I528" s="2" t="s">
        <v>30</v>
      </c>
      <c r="J528" s="2" t="n">
        <v>115</v>
      </c>
      <c r="K528" s="32" t="s">
        <v>105</v>
      </c>
      <c r="L528" s="63" t="n">
        <f aca="false">SUM(V528:AB528)</f>
        <v>0.0221670777637296</v>
      </c>
      <c r="M528" s="63" t="n">
        <f aca="false">MAX(O528:U528)</f>
        <v>16.8</v>
      </c>
      <c r="N528" s="15" t="n">
        <f aca="false">COUNTIF(M528,"&gt;9.9")</f>
        <v>1</v>
      </c>
      <c r="O528" s="2" t="n">
        <v>16.8</v>
      </c>
      <c r="V528" s="63" t="n">
        <f aca="false">PI()*POWER((O528/200),2)</f>
        <v>0.0221670777637296</v>
      </c>
      <c r="W528" s="63" t="n">
        <f aca="false">PI()*POWER((P528/200),2)</f>
        <v>0</v>
      </c>
      <c r="X528" s="63" t="n">
        <f aca="false">PI()*POWER((Q528/200),2)</f>
        <v>0</v>
      </c>
      <c r="Y528" s="63" t="n">
        <f aca="false">PI()*POWER((R528/200),2)</f>
        <v>0</v>
      </c>
      <c r="Z528" s="63" t="n">
        <f aca="false">PI()*POWER((S528/200),2)</f>
        <v>0</v>
      </c>
      <c r="AA528" s="63" t="n">
        <f aca="false">PI()*POWER((T528/200),2)</f>
        <v>0</v>
      </c>
      <c r="AB528" s="63" t="n">
        <f aca="false">PI()*POWER((U528/200),2)</f>
        <v>0</v>
      </c>
    </row>
    <row r="529" customFormat="false" ht="15" hidden="false" customHeight="false" outlineLevel="0" collapsed="false">
      <c r="A529" s="2" t="s">
        <v>20</v>
      </c>
      <c r="B529" s="2" t="n">
        <v>3</v>
      </c>
      <c r="C529" s="33" t="n">
        <v>46265</v>
      </c>
      <c r="D529" s="2" t="n">
        <v>2</v>
      </c>
      <c r="E529" s="2" t="s">
        <v>26</v>
      </c>
      <c r="F529" s="2" t="s">
        <v>27</v>
      </c>
      <c r="G529" s="2" t="s">
        <v>28</v>
      </c>
      <c r="H529" s="2" t="s">
        <v>95</v>
      </c>
      <c r="I529" s="2" t="s">
        <v>30</v>
      </c>
      <c r="J529" s="2" t="n">
        <v>112</v>
      </c>
      <c r="K529" s="32" t="s">
        <v>105</v>
      </c>
      <c r="L529" s="63" t="n">
        <f aca="false">SUM(V529:AB529)</f>
        <v>0.0385701184062853</v>
      </c>
      <c r="M529" s="63" t="n">
        <f aca="false">MAX(O529:U529)</f>
        <v>18.5</v>
      </c>
      <c r="N529" s="15" t="n">
        <f aca="false">COUNTIF(M529,"&gt;9.9")</f>
        <v>1</v>
      </c>
      <c r="O529" s="2" t="n">
        <v>12.2</v>
      </c>
      <c r="P529" s="2" t="n">
        <v>18.5</v>
      </c>
      <c r="V529" s="63" t="n">
        <f aca="false">PI()*POWER((O529/200),2)</f>
        <v>0.0116898662640076</v>
      </c>
      <c r="W529" s="63" t="n">
        <f aca="false">PI()*POWER((P529/200),2)</f>
        <v>0.0268802521422777</v>
      </c>
      <c r="X529" s="63" t="n">
        <f aca="false">PI()*POWER((Q529/200),2)</f>
        <v>0</v>
      </c>
      <c r="Y529" s="63" t="n">
        <f aca="false">PI()*POWER((R529/200),2)</f>
        <v>0</v>
      </c>
      <c r="Z529" s="63" t="n">
        <f aca="false">PI()*POWER((S529/200),2)</f>
        <v>0</v>
      </c>
      <c r="AA529" s="63" t="n">
        <f aca="false">PI()*POWER((T529/200),2)</f>
        <v>0</v>
      </c>
      <c r="AB529" s="63" t="n">
        <f aca="false">PI()*POWER((U529/200),2)</f>
        <v>0</v>
      </c>
    </row>
    <row r="530" customFormat="false" ht="15" hidden="false" customHeight="false" outlineLevel="0" collapsed="false">
      <c r="A530" s="2" t="s">
        <v>20</v>
      </c>
      <c r="B530" s="2" t="n">
        <v>3</v>
      </c>
      <c r="C530" s="33" t="n">
        <v>46265</v>
      </c>
      <c r="D530" s="2" t="n">
        <v>2</v>
      </c>
      <c r="E530" s="2" t="s">
        <v>26</v>
      </c>
      <c r="F530" s="2" t="s">
        <v>27</v>
      </c>
      <c r="G530" s="2" t="s">
        <v>28</v>
      </c>
      <c r="H530" s="2" t="s">
        <v>95</v>
      </c>
      <c r="I530" s="2" t="s">
        <v>30</v>
      </c>
      <c r="J530" s="2" t="n">
        <v>43</v>
      </c>
      <c r="K530" s="32" t="s">
        <v>154</v>
      </c>
      <c r="L530" s="63" t="n">
        <f aca="false">SUM(V530:AB530)</f>
        <v>0.00950331777710912</v>
      </c>
      <c r="M530" s="63" t="n">
        <f aca="false">MAX(O530:U530)</f>
        <v>11</v>
      </c>
      <c r="N530" s="15" t="n">
        <f aca="false">COUNTIF(M530,"&gt;9.9")</f>
        <v>1</v>
      </c>
      <c r="O530" s="2" t="n">
        <v>11</v>
      </c>
      <c r="V530" s="63" t="n">
        <f aca="false">PI()*POWER((O530/200),2)</f>
        <v>0.00950331777710912</v>
      </c>
      <c r="W530" s="63" t="n">
        <f aca="false">PI()*POWER((P530/200),2)</f>
        <v>0</v>
      </c>
      <c r="X530" s="63" t="n">
        <f aca="false">PI()*POWER((Q530/200),2)</f>
        <v>0</v>
      </c>
      <c r="Y530" s="63" t="n">
        <f aca="false">PI()*POWER((R530/200),2)</f>
        <v>0</v>
      </c>
      <c r="Z530" s="63" t="n">
        <f aca="false">PI()*POWER((S530/200),2)</f>
        <v>0</v>
      </c>
      <c r="AA530" s="63" t="n">
        <f aca="false">PI()*POWER((T530/200),2)</f>
        <v>0</v>
      </c>
      <c r="AB530" s="63" t="n">
        <f aca="false">PI()*POWER((U530/200),2)</f>
        <v>0</v>
      </c>
    </row>
    <row r="531" customFormat="false" ht="15" hidden="false" customHeight="false" outlineLevel="0" collapsed="false">
      <c r="A531" s="2" t="s">
        <v>20</v>
      </c>
      <c r="B531" s="2" t="n">
        <v>3</v>
      </c>
      <c r="C531" s="33" t="n">
        <v>46265</v>
      </c>
      <c r="D531" s="2" t="n">
        <v>2</v>
      </c>
      <c r="E531" s="2" t="s">
        <v>26</v>
      </c>
      <c r="F531" s="2" t="s">
        <v>27</v>
      </c>
      <c r="G531" s="2" t="s">
        <v>28</v>
      </c>
      <c r="H531" s="2" t="s">
        <v>95</v>
      </c>
      <c r="I531" s="2" t="s">
        <v>30</v>
      </c>
      <c r="J531" s="2" t="n">
        <v>79</v>
      </c>
      <c r="K531" s="32" t="s">
        <v>155</v>
      </c>
      <c r="L531" s="63" t="n">
        <f aca="false">SUM(V531:AB531)</f>
        <v>0.00107521008569111</v>
      </c>
      <c r="M531" s="63" t="n">
        <f aca="false">MAX(O531:U531)</f>
        <v>3.7</v>
      </c>
      <c r="N531" s="15" t="n">
        <f aca="false">COUNTIF(M531,"&gt;9.9")</f>
        <v>0</v>
      </c>
      <c r="O531" s="2" t="n">
        <v>3.7</v>
      </c>
      <c r="V531" s="63" t="n">
        <f aca="false">PI()*POWER((O531/200),2)</f>
        <v>0.00107521008569111</v>
      </c>
      <c r="W531" s="63" t="n">
        <f aca="false">PI()*POWER((P531/200),2)</f>
        <v>0</v>
      </c>
      <c r="X531" s="63" t="n">
        <f aca="false">PI()*POWER((Q531/200),2)</f>
        <v>0</v>
      </c>
      <c r="Y531" s="63" t="n">
        <f aca="false">PI()*POWER((R531/200),2)</f>
        <v>0</v>
      </c>
      <c r="Z531" s="63" t="n">
        <f aca="false">PI()*POWER((S531/200),2)</f>
        <v>0</v>
      </c>
      <c r="AA531" s="63" t="n">
        <f aca="false">PI()*POWER((T531/200),2)</f>
        <v>0</v>
      </c>
      <c r="AB531" s="63" t="n">
        <f aca="false">PI()*POWER((U531/200),2)</f>
        <v>0</v>
      </c>
    </row>
    <row r="532" customFormat="false" ht="15" hidden="false" customHeight="false" outlineLevel="0" collapsed="false">
      <c r="A532" s="2" t="s">
        <v>20</v>
      </c>
      <c r="B532" s="2" t="n">
        <v>3</v>
      </c>
      <c r="C532" s="33" t="n">
        <v>46265</v>
      </c>
      <c r="D532" s="2" t="n">
        <v>2</v>
      </c>
      <c r="E532" s="2" t="s">
        <v>26</v>
      </c>
      <c r="F532" s="2" t="s">
        <v>27</v>
      </c>
      <c r="G532" s="2" t="s">
        <v>28</v>
      </c>
      <c r="H532" s="2" t="s">
        <v>95</v>
      </c>
      <c r="I532" s="2" t="s">
        <v>30</v>
      </c>
      <c r="J532" s="2" t="n">
        <v>64</v>
      </c>
      <c r="K532" s="32" t="s">
        <v>149</v>
      </c>
      <c r="L532" s="63" t="n">
        <f aca="false">SUM(V532:AB532)</f>
        <v>0.000706858347057703</v>
      </c>
      <c r="M532" s="63" t="n">
        <f aca="false">MAX(O532:U532)</f>
        <v>3</v>
      </c>
      <c r="N532" s="15" t="n">
        <f aca="false">COUNTIF(M532,"&gt;9.9")</f>
        <v>0</v>
      </c>
      <c r="O532" s="2" t="n">
        <v>3</v>
      </c>
      <c r="V532" s="63" t="n">
        <f aca="false">PI()*POWER((O532/200),2)</f>
        <v>0.000706858347057703</v>
      </c>
      <c r="W532" s="63" t="n">
        <f aca="false">PI()*POWER((P532/200),2)</f>
        <v>0</v>
      </c>
      <c r="X532" s="63" t="n">
        <f aca="false">PI()*POWER((Q532/200),2)</f>
        <v>0</v>
      </c>
      <c r="Y532" s="63" t="n">
        <f aca="false">PI()*POWER((R532/200),2)</f>
        <v>0</v>
      </c>
      <c r="Z532" s="63" t="n">
        <f aca="false">PI()*POWER((S532/200),2)</f>
        <v>0</v>
      </c>
      <c r="AA532" s="63" t="n">
        <f aca="false">PI()*POWER((T532/200),2)</f>
        <v>0</v>
      </c>
      <c r="AB532" s="63" t="n">
        <f aca="false">PI()*POWER((U532/200),2)</f>
        <v>0</v>
      </c>
    </row>
    <row r="533" customFormat="false" ht="15" hidden="false" customHeight="false" outlineLevel="0" collapsed="false">
      <c r="A533" s="2" t="s">
        <v>20</v>
      </c>
      <c r="B533" s="2" t="n">
        <v>3</v>
      </c>
      <c r="C533" s="33" t="n">
        <v>46265</v>
      </c>
      <c r="D533" s="2" t="n">
        <v>2</v>
      </c>
      <c r="E533" s="2" t="s">
        <v>26</v>
      </c>
      <c r="F533" s="2" t="s">
        <v>27</v>
      </c>
      <c r="G533" s="2" t="s">
        <v>28</v>
      </c>
      <c r="H533" s="2" t="s">
        <v>95</v>
      </c>
      <c r="I533" s="2" t="s">
        <v>30</v>
      </c>
      <c r="J533" s="2" t="n">
        <v>150</v>
      </c>
      <c r="K533" s="32" t="s">
        <v>156</v>
      </c>
      <c r="L533" s="63" t="n">
        <f aca="false">SUM(V533:AB533)</f>
        <v>0.0307907495978336</v>
      </c>
      <c r="M533" s="63" t="n">
        <f aca="false">MAX(O533:U533)</f>
        <v>19.8</v>
      </c>
      <c r="N533" s="15" t="n">
        <f aca="false">COUNTIF(M533,"&gt;9.9")</f>
        <v>1</v>
      </c>
      <c r="O533" s="2" t="n">
        <v>19.8</v>
      </c>
      <c r="V533" s="63" t="n">
        <f aca="false">PI()*POWER((O533/200),2)</f>
        <v>0.0307907495978336</v>
      </c>
      <c r="W533" s="63" t="n">
        <f aca="false">PI()*POWER((P533/200),2)</f>
        <v>0</v>
      </c>
      <c r="X533" s="63" t="n">
        <f aca="false">PI()*POWER((Q533/200),2)</f>
        <v>0</v>
      </c>
      <c r="Y533" s="63" t="n">
        <f aca="false">PI()*POWER((R533/200),2)</f>
        <v>0</v>
      </c>
      <c r="Z533" s="63" t="n">
        <f aca="false">PI()*POWER((S533/200),2)</f>
        <v>0</v>
      </c>
      <c r="AA533" s="63" t="n">
        <f aca="false">PI()*POWER((T533/200),2)</f>
        <v>0</v>
      </c>
      <c r="AB533" s="63" t="n">
        <f aca="false">PI()*POWER((U533/200),2)</f>
        <v>0</v>
      </c>
    </row>
    <row r="534" customFormat="false" ht="15" hidden="false" customHeight="false" outlineLevel="0" collapsed="false">
      <c r="A534" s="2" t="s">
        <v>20</v>
      </c>
      <c r="B534" s="2" t="n">
        <v>3</v>
      </c>
      <c r="C534" s="33" t="n">
        <v>46265</v>
      </c>
      <c r="D534" s="2" t="n">
        <v>2</v>
      </c>
      <c r="E534" s="2" t="s">
        <v>26</v>
      </c>
      <c r="F534" s="2" t="s">
        <v>27</v>
      </c>
      <c r="G534" s="2" t="s">
        <v>28</v>
      </c>
      <c r="H534" s="2" t="s">
        <v>95</v>
      </c>
      <c r="I534" s="2" t="s">
        <v>30</v>
      </c>
      <c r="J534" s="2" t="n">
        <v>148</v>
      </c>
      <c r="K534" s="32" t="s">
        <v>156</v>
      </c>
      <c r="L534" s="63" t="n">
        <f aca="false">SUM(V534:AB534)</f>
        <v>0.0422732707467043</v>
      </c>
      <c r="M534" s="63" t="n">
        <f aca="false">MAX(O534:U534)</f>
        <v>23.2</v>
      </c>
      <c r="N534" s="15" t="n">
        <f aca="false">COUNTIF(M534,"&gt;9.9")</f>
        <v>1</v>
      </c>
      <c r="O534" s="2" t="n">
        <v>23.2</v>
      </c>
      <c r="V534" s="63" t="n">
        <f aca="false">PI()*POWER((O534/200),2)</f>
        <v>0.0422732707467043</v>
      </c>
      <c r="W534" s="63" t="n">
        <f aca="false">PI()*POWER((P534/200),2)</f>
        <v>0</v>
      </c>
      <c r="X534" s="63" t="n">
        <f aca="false">PI()*POWER((Q534/200),2)</f>
        <v>0</v>
      </c>
      <c r="Y534" s="63" t="n">
        <f aca="false">PI()*POWER((R534/200),2)</f>
        <v>0</v>
      </c>
      <c r="Z534" s="63" t="n">
        <f aca="false">PI()*POWER((S534/200),2)</f>
        <v>0</v>
      </c>
      <c r="AA534" s="63" t="n">
        <f aca="false">PI()*POWER((T534/200),2)</f>
        <v>0</v>
      </c>
      <c r="AB534" s="63" t="n">
        <f aca="false">PI()*POWER((U534/200),2)</f>
        <v>0</v>
      </c>
    </row>
    <row r="535" customFormat="false" ht="15" hidden="false" customHeight="false" outlineLevel="0" collapsed="false">
      <c r="A535" s="2" t="s">
        <v>20</v>
      </c>
      <c r="B535" s="2" t="n">
        <v>3</v>
      </c>
      <c r="C535" s="33" t="n">
        <v>46265</v>
      </c>
      <c r="D535" s="2" t="n">
        <v>2</v>
      </c>
      <c r="E535" s="2" t="s">
        <v>26</v>
      </c>
      <c r="F535" s="2" t="s">
        <v>27</v>
      </c>
      <c r="G535" s="2" t="s">
        <v>28</v>
      </c>
      <c r="H535" s="2" t="s">
        <v>95</v>
      </c>
      <c r="I535" s="2" t="s">
        <v>30</v>
      </c>
      <c r="J535" s="2" t="n">
        <v>146</v>
      </c>
      <c r="K535" s="32" t="s">
        <v>107</v>
      </c>
      <c r="L535" s="63" t="n">
        <f aca="false">SUM(V535:AB535)</f>
        <v>0.000254469004940773</v>
      </c>
      <c r="M535" s="63" t="n">
        <f aca="false">MAX(O535:U535)</f>
        <v>1.8</v>
      </c>
      <c r="N535" s="15" t="n">
        <f aca="false">COUNTIF(M535,"&gt;9.9")</f>
        <v>0</v>
      </c>
      <c r="O535" s="2" t="n">
        <v>1.8</v>
      </c>
      <c r="V535" s="63" t="n">
        <f aca="false">PI()*POWER((O535/200),2)</f>
        <v>0.000254469004940773</v>
      </c>
      <c r="W535" s="63" t="n">
        <f aca="false">PI()*POWER((P535/200),2)</f>
        <v>0</v>
      </c>
      <c r="X535" s="63" t="n">
        <f aca="false">PI()*POWER((Q535/200),2)</f>
        <v>0</v>
      </c>
      <c r="Y535" s="63" t="n">
        <f aca="false">PI()*POWER((R535/200),2)</f>
        <v>0</v>
      </c>
      <c r="Z535" s="63" t="n">
        <f aca="false">PI()*POWER((S535/200),2)</f>
        <v>0</v>
      </c>
      <c r="AA535" s="63" t="n">
        <f aca="false">PI()*POWER((T535/200),2)</f>
        <v>0</v>
      </c>
      <c r="AB535" s="63" t="n">
        <f aca="false">PI()*POWER((U535/200),2)</f>
        <v>0</v>
      </c>
    </row>
    <row r="536" customFormat="false" ht="15" hidden="false" customHeight="false" outlineLevel="0" collapsed="false">
      <c r="A536" s="2" t="s">
        <v>20</v>
      </c>
      <c r="B536" s="2" t="n">
        <v>3</v>
      </c>
      <c r="C536" s="33" t="n">
        <v>46265</v>
      </c>
      <c r="D536" s="2" t="n">
        <v>2</v>
      </c>
      <c r="E536" s="2" t="s">
        <v>26</v>
      </c>
      <c r="F536" s="2" t="s">
        <v>27</v>
      </c>
      <c r="G536" s="2" t="s">
        <v>28</v>
      </c>
      <c r="H536" s="2" t="s">
        <v>95</v>
      </c>
      <c r="I536" s="2" t="s">
        <v>30</v>
      </c>
      <c r="J536" s="2" t="n">
        <v>29</v>
      </c>
      <c r="K536" s="32" t="s">
        <v>107</v>
      </c>
      <c r="L536" s="63" t="n">
        <f aca="false">SUM(V536:AB536)</f>
        <v>0.000490873852123405</v>
      </c>
      <c r="M536" s="63" t="n">
        <f aca="false">MAX(O536:U536)</f>
        <v>2.5</v>
      </c>
      <c r="N536" s="15" t="n">
        <f aca="false">COUNTIF(M536,"&gt;9.9")</f>
        <v>0</v>
      </c>
      <c r="O536" s="2" t="n">
        <v>2.5</v>
      </c>
      <c r="V536" s="63" t="n">
        <f aca="false">PI()*POWER((O536/200),2)</f>
        <v>0.000490873852123405</v>
      </c>
      <c r="W536" s="63" t="n">
        <f aca="false">PI()*POWER((P536/200),2)</f>
        <v>0</v>
      </c>
      <c r="X536" s="63" t="n">
        <f aca="false">PI()*POWER((Q536/200),2)</f>
        <v>0</v>
      </c>
      <c r="Y536" s="63" t="n">
        <f aca="false">PI()*POWER((R536/200),2)</f>
        <v>0</v>
      </c>
      <c r="Z536" s="63" t="n">
        <f aca="false">PI()*POWER((S536/200),2)</f>
        <v>0</v>
      </c>
      <c r="AA536" s="63" t="n">
        <f aca="false">PI()*POWER((T536/200),2)</f>
        <v>0</v>
      </c>
      <c r="AB536" s="63" t="n">
        <f aca="false">PI()*POWER((U536/200),2)</f>
        <v>0</v>
      </c>
    </row>
    <row r="537" customFormat="false" ht="15" hidden="false" customHeight="false" outlineLevel="0" collapsed="false">
      <c r="A537" s="2" t="s">
        <v>20</v>
      </c>
      <c r="B537" s="2" t="n">
        <v>3</v>
      </c>
      <c r="C537" s="33" t="n">
        <v>46265</v>
      </c>
      <c r="D537" s="2" t="n">
        <v>2</v>
      </c>
      <c r="E537" s="2" t="s">
        <v>26</v>
      </c>
      <c r="F537" s="2" t="s">
        <v>27</v>
      </c>
      <c r="G537" s="2" t="s">
        <v>28</v>
      </c>
      <c r="H537" s="2" t="s">
        <v>95</v>
      </c>
      <c r="I537" s="2" t="s">
        <v>30</v>
      </c>
      <c r="J537" s="2" t="n">
        <v>41</v>
      </c>
      <c r="K537" s="32" t="s">
        <v>107</v>
      </c>
      <c r="L537" s="63" t="n">
        <f aca="false">SUM(V537:AB537)</f>
        <v>0.000962112750161874</v>
      </c>
      <c r="M537" s="63" t="n">
        <f aca="false">MAX(O537:U537)</f>
        <v>3.5</v>
      </c>
      <c r="N537" s="15" t="n">
        <f aca="false">COUNTIF(M537,"&gt;9.9")</f>
        <v>0</v>
      </c>
      <c r="O537" s="2" t="n">
        <v>3.5</v>
      </c>
      <c r="V537" s="63" t="n">
        <f aca="false">PI()*POWER((O537/200),2)</f>
        <v>0.000962112750161874</v>
      </c>
      <c r="W537" s="63" t="n">
        <f aca="false">PI()*POWER((P537/200),2)</f>
        <v>0</v>
      </c>
      <c r="X537" s="63" t="n">
        <f aca="false">PI()*POWER((Q537/200),2)</f>
        <v>0</v>
      </c>
      <c r="Y537" s="63" t="n">
        <f aca="false">PI()*POWER((R537/200),2)</f>
        <v>0</v>
      </c>
      <c r="Z537" s="63" t="n">
        <f aca="false">PI()*POWER((S537/200),2)</f>
        <v>0</v>
      </c>
      <c r="AA537" s="63" t="n">
        <f aca="false">PI()*POWER((T537/200),2)</f>
        <v>0</v>
      </c>
      <c r="AB537" s="63" t="n">
        <f aca="false">PI()*POWER((U537/200),2)</f>
        <v>0</v>
      </c>
    </row>
    <row r="538" customFormat="false" ht="15" hidden="false" customHeight="false" outlineLevel="0" collapsed="false">
      <c r="A538" s="2" t="s">
        <v>20</v>
      </c>
      <c r="B538" s="2" t="n">
        <v>3</v>
      </c>
      <c r="C538" s="33" t="n">
        <v>46265</v>
      </c>
      <c r="D538" s="2" t="n">
        <v>2</v>
      </c>
      <c r="E538" s="2" t="s">
        <v>26</v>
      </c>
      <c r="F538" s="2" t="s">
        <v>27</v>
      </c>
      <c r="G538" s="2" t="s">
        <v>28</v>
      </c>
      <c r="H538" s="2" t="s">
        <v>95</v>
      </c>
      <c r="I538" s="2" t="s">
        <v>30</v>
      </c>
      <c r="J538" s="2" t="n">
        <v>114</v>
      </c>
      <c r="K538" s="32" t="s">
        <v>157</v>
      </c>
      <c r="L538" s="63" t="n">
        <f aca="false">SUM(V538:AB538)</f>
        <v>0.000346360590058275</v>
      </c>
      <c r="M538" s="63" t="n">
        <f aca="false">MAX(O538:U538)</f>
        <v>2.1</v>
      </c>
      <c r="N538" s="15" t="n">
        <f aca="false">COUNTIF(M538,"&gt;9.9")</f>
        <v>0</v>
      </c>
      <c r="O538" s="2" t="n">
        <v>2.1</v>
      </c>
      <c r="V538" s="63" t="n">
        <f aca="false">PI()*POWER((O538/200),2)</f>
        <v>0.000346360590058275</v>
      </c>
      <c r="W538" s="63" t="n">
        <f aca="false">PI()*POWER((P538/200),2)</f>
        <v>0</v>
      </c>
      <c r="X538" s="63" t="n">
        <f aca="false">PI()*POWER((Q538/200),2)</f>
        <v>0</v>
      </c>
      <c r="Y538" s="63" t="n">
        <f aca="false">PI()*POWER((R538/200),2)</f>
        <v>0</v>
      </c>
      <c r="Z538" s="63" t="n">
        <f aca="false">PI()*POWER((S538/200),2)</f>
        <v>0</v>
      </c>
      <c r="AA538" s="63" t="n">
        <f aca="false">PI()*POWER((T538/200),2)</f>
        <v>0</v>
      </c>
      <c r="AB538" s="63" t="n">
        <f aca="false">PI()*POWER((U538/200),2)</f>
        <v>0</v>
      </c>
    </row>
    <row r="539" customFormat="false" ht="15" hidden="false" customHeight="false" outlineLevel="0" collapsed="false">
      <c r="A539" s="2" t="s">
        <v>20</v>
      </c>
      <c r="B539" s="2" t="n">
        <v>3</v>
      </c>
      <c r="C539" s="33" t="n">
        <v>46265</v>
      </c>
      <c r="D539" s="2" t="n">
        <v>2</v>
      </c>
      <c r="E539" s="2" t="s">
        <v>26</v>
      </c>
      <c r="F539" s="2" t="s">
        <v>27</v>
      </c>
      <c r="G539" s="2" t="s">
        <v>28</v>
      </c>
      <c r="H539" s="2" t="s">
        <v>95</v>
      </c>
      <c r="I539" s="2" t="s">
        <v>30</v>
      </c>
      <c r="J539" s="2" t="n">
        <v>130</v>
      </c>
      <c r="K539" s="32" t="s">
        <v>157</v>
      </c>
      <c r="L539" s="63" t="n">
        <f aca="false">SUM(V539:AB539)</f>
        <v>0.000490873852123405</v>
      </c>
      <c r="M539" s="63" t="n">
        <f aca="false">MAX(O539:U539)</f>
        <v>2.5</v>
      </c>
      <c r="N539" s="15" t="n">
        <f aca="false">COUNTIF(M539,"&gt;9.9")</f>
        <v>0</v>
      </c>
      <c r="O539" s="2" t="n">
        <v>2.5</v>
      </c>
      <c r="V539" s="63" t="n">
        <f aca="false">PI()*POWER((O539/200),2)</f>
        <v>0.000490873852123405</v>
      </c>
      <c r="W539" s="63" t="n">
        <f aca="false">PI()*POWER((P539/200),2)</f>
        <v>0</v>
      </c>
      <c r="X539" s="63" t="n">
        <f aca="false">PI()*POWER((Q539/200),2)</f>
        <v>0</v>
      </c>
      <c r="Y539" s="63" t="n">
        <f aca="false">PI()*POWER((R539/200),2)</f>
        <v>0</v>
      </c>
      <c r="Z539" s="63" t="n">
        <f aca="false">PI()*POWER((S539/200),2)</f>
        <v>0</v>
      </c>
      <c r="AA539" s="63" t="n">
        <f aca="false">PI()*POWER((T539/200),2)</f>
        <v>0</v>
      </c>
      <c r="AB539" s="63" t="n">
        <f aca="false">PI()*POWER((U539/200),2)</f>
        <v>0</v>
      </c>
    </row>
    <row r="540" customFormat="false" ht="15" hidden="false" customHeight="false" outlineLevel="0" collapsed="false">
      <c r="A540" s="2" t="s">
        <v>20</v>
      </c>
      <c r="B540" s="2" t="n">
        <v>3</v>
      </c>
      <c r="C540" s="33" t="n">
        <v>46265</v>
      </c>
      <c r="D540" s="2" t="n">
        <v>2</v>
      </c>
      <c r="E540" s="2" t="s">
        <v>26</v>
      </c>
      <c r="F540" s="2" t="s">
        <v>27</v>
      </c>
      <c r="G540" s="2" t="s">
        <v>28</v>
      </c>
      <c r="H540" s="2" t="s">
        <v>95</v>
      </c>
      <c r="I540" s="2" t="s">
        <v>30</v>
      </c>
      <c r="J540" s="2" t="n">
        <v>109</v>
      </c>
      <c r="K540" s="32" t="s">
        <v>157</v>
      </c>
      <c r="L540" s="63" t="n">
        <f aca="false">SUM(V540:AB540)</f>
        <v>0.00255175863287831</v>
      </c>
      <c r="M540" s="63" t="n">
        <f aca="false">MAX(O540:U540)</f>
        <v>5.7</v>
      </c>
      <c r="N540" s="15" t="n">
        <f aca="false">COUNTIF(M540,"&gt;9.9")</f>
        <v>0</v>
      </c>
      <c r="O540" s="2" t="n">
        <v>5.7</v>
      </c>
      <c r="V540" s="63" t="n">
        <f aca="false">PI()*POWER((O540/200),2)</f>
        <v>0.00255175863287831</v>
      </c>
      <c r="W540" s="63" t="n">
        <f aca="false">PI()*POWER((P540/200),2)</f>
        <v>0</v>
      </c>
      <c r="X540" s="63" t="n">
        <f aca="false">PI()*POWER((Q540/200),2)</f>
        <v>0</v>
      </c>
      <c r="Y540" s="63" t="n">
        <f aca="false">PI()*POWER((R540/200),2)</f>
        <v>0</v>
      </c>
      <c r="Z540" s="63" t="n">
        <f aca="false">PI()*POWER((S540/200),2)</f>
        <v>0</v>
      </c>
      <c r="AA540" s="63" t="n">
        <f aca="false">PI()*POWER((T540/200),2)</f>
        <v>0</v>
      </c>
      <c r="AB540" s="63" t="n">
        <f aca="false">PI()*POWER((U540/200),2)</f>
        <v>0</v>
      </c>
    </row>
    <row r="541" customFormat="false" ht="15" hidden="false" customHeight="false" outlineLevel="0" collapsed="false">
      <c r="A541" s="2" t="s">
        <v>20</v>
      </c>
      <c r="B541" s="2" t="n">
        <v>3</v>
      </c>
      <c r="C541" s="33" t="n">
        <v>46265</v>
      </c>
      <c r="D541" s="2" t="n">
        <v>2</v>
      </c>
      <c r="E541" s="2" t="s">
        <v>26</v>
      </c>
      <c r="F541" s="2" t="s">
        <v>27</v>
      </c>
      <c r="G541" s="2" t="s">
        <v>28</v>
      </c>
      <c r="H541" s="2" t="s">
        <v>95</v>
      </c>
      <c r="I541" s="2" t="s">
        <v>30</v>
      </c>
      <c r="J541" s="2" t="n">
        <v>139</v>
      </c>
      <c r="K541" s="32" t="s">
        <v>157</v>
      </c>
      <c r="L541" s="63" t="n">
        <f aca="false">SUM(V541:AB541)</f>
        <v>0.00950331777710912</v>
      </c>
      <c r="M541" s="63" t="n">
        <f aca="false">MAX(O541:U541)</f>
        <v>11</v>
      </c>
      <c r="N541" s="15" t="n">
        <f aca="false">COUNTIF(M541,"&gt;9.9")</f>
        <v>1</v>
      </c>
      <c r="O541" s="2" t="n">
        <v>11</v>
      </c>
      <c r="V541" s="63" t="n">
        <f aca="false">PI()*POWER((O541/200),2)</f>
        <v>0.00950331777710912</v>
      </c>
      <c r="W541" s="63" t="n">
        <f aca="false">PI()*POWER((P541/200),2)</f>
        <v>0</v>
      </c>
      <c r="X541" s="63" t="n">
        <f aca="false">PI()*POWER((Q541/200),2)</f>
        <v>0</v>
      </c>
      <c r="Y541" s="63" t="n">
        <f aca="false">PI()*POWER((R541/200),2)</f>
        <v>0</v>
      </c>
      <c r="Z541" s="63" t="n">
        <f aca="false">PI()*POWER((S541/200),2)</f>
        <v>0</v>
      </c>
      <c r="AA541" s="63" t="n">
        <f aca="false">PI()*POWER((T541/200),2)</f>
        <v>0</v>
      </c>
      <c r="AB541" s="63" t="n">
        <f aca="false">PI()*POWER((U541/200),2)</f>
        <v>0</v>
      </c>
    </row>
    <row r="542" customFormat="false" ht="15" hidden="false" customHeight="false" outlineLevel="0" collapsed="false">
      <c r="A542" s="2" t="s">
        <v>20</v>
      </c>
      <c r="B542" s="2" t="n">
        <v>3</v>
      </c>
      <c r="C542" s="33" t="n">
        <v>46265</v>
      </c>
      <c r="D542" s="2" t="n">
        <v>2</v>
      </c>
      <c r="E542" s="2" t="s">
        <v>26</v>
      </c>
      <c r="F542" s="2" t="s">
        <v>27</v>
      </c>
      <c r="G542" s="2" t="s">
        <v>28</v>
      </c>
      <c r="H542" s="2" t="s">
        <v>95</v>
      </c>
      <c r="I542" s="2" t="s">
        <v>30</v>
      </c>
      <c r="J542" s="2" t="n">
        <v>147</v>
      </c>
      <c r="K542" s="32" t="s">
        <v>157</v>
      </c>
      <c r="L542" s="63" t="n">
        <f aca="false">SUM(V542:AB542)</f>
        <v>0.0122718463030851</v>
      </c>
      <c r="M542" s="63" t="n">
        <f aca="false">MAX(O542:U542)</f>
        <v>12.5</v>
      </c>
      <c r="N542" s="15" t="n">
        <f aca="false">COUNTIF(M542,"&gt;9.9")</f>
        <v>1</v>
      </c>
      <c r="O542" s="2" t="n">
        <v>12.5</v>
      </c>
      <c r="V542" s="63" t="n">
        <f aca="false">PI()*POWER((O542/200),2)</f>
        <v>0.0122718463030851</v>
      </c>
      <c r="W542" s="63" t="n">
        <f aca="false">PI()*POWER((P542/200),2)</f>
        <v>0</v>
      </c>
      <c r="X542" s="63" t="n">
        <f aca="false">PI()*POWER((Q542/200),2)</f>
        <v>0</v>
      </c>
      <c r="Y542" s="63" t="n">
        <f aca="false">PI()*POWER((R542/200),2)</f>
        <v>0</v>
      </c>
      <c r="Z542" s="63" t="n">
        <f aca="false">PI()*POWER((S542/200),2)</f>
        <v>0</v>
      </c>
      <c r="AA542" s="63" t="n">
        <f aca="false">PI()*POWER((T542/200),2)</f>
        <v>0</v>
      </c>
      <c r="AB542" s="63" t="n">
        <f aca="false">PI()*POWER((U542/200),2)</f>
        <v>0</v>
      </c>
    </row>
    <row r="543" customFormat="false" ht="15" hidden="false" customHeight="false" outlineLevel="0" collapsed="false">
      <c r="A543" s="2" t="s">
        <v>20</v>
      </c>
      <c r="B543" s="2" t="n">
        <v>3</v>
      </c>
      <c r="C543" s="33" t="n">
        <v>46265</v>
      </c>
      <c r="D543" s="2" t="n">
        <v>2</v>
      </c>
      <c r="E543" s="2" t="s">
        <v>26</v>
      </c>
      <c r="F543" s="2" t="s">
        <v>27</v>
      </c>
      <c r="G543" s="2" t="s">
        <v>28</v>
      </c>
      <c r="H543" s="2" t="s">
        <v>95</v>
      </c>
      <c r="I543" s="2" t="s">
        <v>30</v>
      </c>
      <c r="J543" s="2" t="n">
        <v>7</v>
      </c>
      <c r="K543" s="2" t="s">
        <v>94</v>
      </c>
      <c r="L543" s="63" t="n">
        <f aca="false">SUM(V543:AB543)</f>
        <v>0.00425371645296058</v>
      </c>
      <c r="M543" s="63" t="n">
        <f aca="false">MAX(O543:U543)</f>
        <v>5.4</v>
      </c>
      <c r="N543" s="15" t="n">
        <f aca="false">COUNTIF(M543,"&gt;9.9")</f>
        <v>0</v>
      </c>
      <c r="O543" s="2" t="n">
        <v>5</v>
      </c>
      <c r="P543" s="2" t="n">
        <v>5.4</v>
      </c>
      <c r="V543" s="63" t="n">
        <f aca="false">PI()*POWER((O543/200),2)</f>
        <v>0.00196349540849362</v>
      </c>
      <c r="W543" s="63" t="n">
        <f aca="false">PI()*POWER((P543/200),2)</f>
        <v>0.00229022104446696</v>
      </c>
      <c r="X543" s="63" t="n">
        <f aca="false">PI()*POWER((Q543/200),2)</f>
        <v>0</v>
      </c>
      <c r="Y543" s="63" t="n">
        <f aca="false">PI()*POWER((R543/200),2)</f>
        <v>0</v>
      </c>
      <c r="Z543" s="63" t="n">
        <f aca="false">PI()*POWER((S543/200),2)</f>
        <v>0</v>
      </c>
      <c r="AA543" s="63" t="n">
        <f aca="false">PI()*POWER((T543/200),2)</f>
        <v>0</v>
      </c>
      <c r="AB543" s="63" t="n">
        <f aca="false">PI()*POWER((U543/200),2)</f>
        <v>0</v>
      </c>
    </row>
    <row r="544" customFormat="false" ht="15" hidden="false" customHeight="false" outlineLevel="0" collapsed="false">
      <c r="A544" s="2" t="s">
        <v>20</v>
      </c>
      <c r="B544" s="2" t="n">
        <v>3</v>
      </c>
      <c r="C544" s="33" t="n">
        <v>46265</v>
      </c>
      <c r="D544" s="2" t="n">
        <v>2</v>
      </c>
      <c r="E544" s="2" t="s">
        <v>26</v>
      </c>
      <c r="F544" s="2" t="s">
        <v>27</v>
      </c>
      <c r="G544" s="2" t="s">
        <v>28</v>
      </c>
      <c r="H544" s="2" t="s">
        <v>95</v>
      </c>
      <c r="I544" s="2" t="s">
        <v>30</v>
      </c>
      <c r="J544" s="2" t="n">
        <v>12</v>
      </c>
      <c r="K544" s="2" t="s">
        <v>158</v>
      </c>
      <c r="L544" s="63" t="n">
        <f aca="false">SUM(V544:AB544)</f>
        <v>0.00950331777710912</v>
      </c>
      <c r="M544" s="63" t="n">
        <f aca="false">MAX(O544:U544)</f>
        <v>11</v>
      </c>
      <c r="N544" s="15" t="n">
        <f aca="false">COUNTIF(M544,"&gt;9.9")</f>
        <v>1</v>
      </c>
      <c r="O544" s="2" t="n">
        <v>11</v>
      </c>
      <c r="V544" s="63" t="n">
        <f aca="false">PI()*POWER((O544/200),2)</f>
        <v>0.00950331777710912</v>
      </c>
      <c r="W544" s="63" t="n">
        <f aca="false">PI()*POWER((P544/200),2)</f>
        <v>0</v>
      </c>
      <c r="X544" s="63" t="n">
        <f aca="false">PI()*POWER((Q544/200),2)</f>
        <v>0</v>
      </c>
      <c r="Y544" s="63" t="n">
        <f aca="false">PI()*POWER((R544/200),2)</f>
        <v>0</v>
      </c>
      <c r="Z544" s="63" t="n">
        <f aca="false">PI()*POWER((S544/200),2)</f>
        <v>0</v>
      </c>
      <c r="AA544" s="63" t="n">
        <f aca="false">PI()*POWER((T544/200),2)</f>
        <v>0</v>
      </c>
      <c r="AB544" s="63" t="n">
        <f aca="false">PI()*POWER((U544/200),2)</f>
        <v>0</v>
      </c>
    </row>
    <row r="545" customFormat="false" ht="15" hidden="false" customHeight="false" outlineLevel="0" collapsed="false">
      <c r="A545" s="2" t="s">
        <v>20</v>
      </c>
      <c r="B545" s="2" t="n">
        <v>3</v>
      </c>
      <c r="C545" s="64" t="n">
        <v>46265</v>
      </c>
      <c r="D545" s="2" t="n">
        <v>3</v>
      </c>
      <c r="E545" s="2" t="s">
        <v>31</v>
      </c>
      <c r="F545" s="2" t="s">
        <v>34</v>
      </c>
      <c r="G545" s="2" t="s">
        <v>140</v>
      </c>
      <c r="H545" s="2" t="s">
        <v>32</v>
      </c>
      <c r="I545" s="2" t="s">
        <v>25</v>
      </c>
      <c r="J545" s="2" t="n">
        <v>54</v>
      </c>
      <c r="K545" s="32" t="s">
        <v>159</v>
      </c>
      <c r="L545" s="15" t="n">
        <f aca="false">SUM(V545:AB545)</f>
        <v>0.00045238934211693</v>
      </c>
      <c r="M545" s="63" t="n">
        <f aca="false">MAX(O545:U545)</f>
        <v>2.4</v>
      </c>
      <c r="N545" s="15" t="n">
        <f aca="false">COUNTIF(M545,"&gt;9.9")</f>
        <v>0</v>
      </c>
      <c r="O545" s="2" t="n">
        <v>2.4</v>
      </c>
      <c r="V545" s="15" t="n">
        <f aca="false">PI()*POWER((O545/200),2)</f>
        <v>0.00045238934211693</v>
      </c>
      <c r="W545" s="15" t="n">
        <f aca="false">PI()*POWER((P545/200),2)</f>
        <v>0</v>
      </c>
      <c r="X545" s="15" t="n">
        <f aca="false">PI()*POWER((Q545/200),2)</f>
        <v>0</v>
      </c>
      <c r="Y545" s="15" t="n">
        <f aca="false">PI()*POWER((R545/200),2)</f>
        <v>0</v>
      </c>
      <c r="Z545" s="15" t="n">
        <f aca="false">PI()*POWER((S545/200),2)</f>
        <v>0</v>
      </c>
      <c r="AA545" s="15" t="n">
        <f aca="false">PI()*POWER((T545/200),2)</f>
        <v>0</v>
      </c>
      <c r="AB545" s="15" t="n">
        <f aca="false">PI()*POWER((U545/200),2)</f>
        <v>0</v>
      </c>
    </row>
    <row r="546" customFormat="false" ht="15" hidden="false" customHeight="false" outlineLevel="0" collapsed="false">
      <c r="A546" s="2" t="s">
        <v>20</v>
      </c>
      <c r="B546" s="2" t="n">
        <v>3</v>
      </c>
      <c r="C546" s="64" t="n">
        <v>46265</v>
      </c>
      <c r="D546" s="2" t="n">
        <v>3</v>
      </c>
      <c r="E546" s="2" t="s">
        <v>31</v>
      </c>
      <c r="F546" s="2" t="s">
        <v>34</v>
      </c>
      <c r="G546" s="2" t="s">
        <v>140</v>
      </c>
      <c r="H546" s="2" t="s">
        <v>32</v>
      </c>
      <c r="I546" s="2" t="s">
        <v>25</v>
      </c>
      <c r="J546" s="2" t="n">
        <v>48</v>
      </c>
      <c r="K546" s="2" t="s">
        <v>147</v>
      </c>
      <c r="L546" s="15" t="n">
        <f aca="false">SUM(V546:AB546)</f>
        <v>0.000226980069221863</v>
      </c>
      <c r="M546" s="63" t="n">
        <f aca="false">MAX(O546:U546)</f>
        <v>1.7</v>
      </c>
      <c r="N546" s="15" t="n">
        <f aca="false">COUNTIF(M546,"&gt;9.9")</f>
        <v>0</v>
      </c>
      <c r="O546" s="2" t="n">
        <v>1.7</v>
      </c>
      <c r="V546" s="15" t="n">
        <f aca="false">PI()*POWER((O546/200),2)</f>
        <v>0.000226980069221863</v>
      </c>
      <c r="W546" s="15" t="n">
        <f aca="false">PI()*POWER((P546/200),2)</f>
        <v>0</v>
      </c>
      <c r="X546" s="15" t="n">
        <f aca="false">PI()*POWER((Q546/200),2)</f>
        <v>0</v>
      </c>
      <c r="Y546" s="15" t="n">
        <f aca="false">PI()*POWER((R546/200),2)</f>
        <v>0</v>
      </c>
      <c r="Z546" s="15" t="n">
        <f aca="false">PI()*POWER((S546/200),2)</f>
        <v>0</v>
      </c>
      <c r="AA546" s="15" t="n">
        <f aca="false">PI()*POWER((T546/200),2)</f>
        <v>0</v>
      </c>
      <c r="AB546" s="15" t="n">
        <f aca="false">PI()*POWER((U546/200),2)</f>
        <v>0</v>
      </c>
    </row>
    <row r="547" customFormat="false" ht="15" hidden="false" customHeight="false" outlineLevel="0" collapsed="false">
      <c r="A547" s="2" t="s">
        <v>20</v>
      </c>
      <c r="B547" s="2" t="n">
        <v>3</v>
      </c>
      <c r="C547" s="64" t="n">
        <v>46265</v>
      </c>
      <c r="D547" s="2" t="n">
        <v>3</v>
      </c>
      <c r="E547" s="2" t="s">
        <v>140</v>
      </c>
      <c r="F547" s="2" t="s">
        <v>32</v>
      </c>
      <c r="G547" s="2" t="s">
        <v>31</v>
      </c>
      <c r="H547" s="2" t="s">
        <v>34</v>
      </c>
      <c r="I547" s="2" t="s">
        <v>25</v>
      </c>
      <c r="J547" s="2" t="n">
        <v>28</v>
      </c>
      <c r="K547" s="2" t="s">
        <v>147</v>
      </c>
      <c r="L547" s="15" t="n">
        <f aca="false">SUM(V547:AB547)</f>
        <v>0.0240528187540469</v>
      </c>
      <c r="M547" s="63" t="n">
        <f aca="false">MAX(O547:U547)</f>
        <v>17.5</v>
      </c>
      <c r="N547" s="15" t="n">
        <f aca="false">COUNTIF(M547,"&gt;9.9")</f>
        <v>1</v>
      </c>
      <c r="O547" s="2" t="n">
        <v>17.5</v>
      </c>
      <c r="V547" s="15" t="n">
        <f aca="false">PI()*POWER((O547/200),2)</f>
        <v>0.0240528187540469</v>
      </c>
      <c r="W547" s="15" t="n">
        <f aca="false">PI()*POWER((P547/200),2)</f>
        <v>0</v>
      </c>
      <c r="X547" s="15" t="n">
        <f aca="false">PI()*POWER((Q547/200),2)</f>
        <v>0</v>
      </c>
      <c r="Y547" s="15" t="n">
        <f aca="false">PI()*POWER((R547/200),2)</f>
        <v>0</v>
      </c>
      <c r="Z547" s="15" t="n">
        <f aca="false">PI()*POWER((S547/200),2)</f>
        <v>0</v>
      </c>
      <c r="AA547" s="15" t="n">
        <f aca="false">PI()*POWER((T547/200),2)</f>
        <v>0</v>
      </c>
      <c r="AB547" s="15" t="n">
        <f aca="false">PI()*POWER((U547/200),2)</f>
        <v>0</v>
      </c>
    </row>
    <row r="548" customFormat="false" ht="15" hidden="false" customHeight="false" outlineLevel="0" collapsed="false">
      <c r="A548" s="2" t="s">
        <v>20</v>
      </c>
      <c r="B548" s="2" t="n">
        <v>3</v>
      </c>
      <c r="C548" s="64" t="n">
        <v>46265</v>
      </c>
      <c r="D548" s="2" t="n">
        <v>3</v>
      </c>
      <c r="E548" s="2" t="s">
        <v>140</v>
      </c>
      <c r="F548" s="2" t="s">
        <v>32</v>
      </c>
      <c r="G548" s="2" t="s">
        <v>31</v>
      </c>
      <c r="H548" s="2" t="s">
        <v>34</v>
      </c>
      <c r="I548" s="2" t="s">
        <v>25</v>
      </c>
      <c r="J548" s="2" t="n">
        <v>15</v>
      </c>
      <c r="K548" s="2" t="s">
        <v>147</v>
      </c>
      <c r="L548" s="15" t="n">
        <f aca="false">SUM(V548:AB548)</f>
        <v>0.0286521103989023</v>
      </c>
      <c r="M548" s="63" t="n">
        <f aca="false">MAX(O548:U548)</f>
        <v>19.1</v>
      </c>
      <c r="N548" s="15" t="n">
        <f aca="false">COUNTIF(M548,"&gt;9.9")</f>
        <v>1</v>
      </c>
      <c r="O548" s="2" t="n">
        <v>19.1</v>
      </c>
      <c r="V548" s="15" t="n">
        <f aca="false">PI()*POWER((O548/200),2)</f>
        <v>0.0286521103989023</v>
      </c>
      <c r="W548" s="15" t="n">
        <f aca="false">PI()*POWER((P548/200),2)</f>
        <v>0</v>
      </c>
      <c r="X548" s="15" t="n">
        <f aca="false">PI()*POWER((Q548/200),2)</f>
        <v>0</v>
      </c>
      <c r="Y548" s="15" t="n">
        <f aca="false">PI()*POWER((R548/200),2)</f>
        <v>0</v>
      </c>
      <c r="Z548" s="15" t="n">
        <f aca="false">PI()*POWER((S548/200),2)</f>
        <v>0</v>
      </c>
      <c r="AA548" s="15" t="n">
        <f aca="false">PI()*POWER((T548/200),2)</f>
        <v>0</v>
      </c>
      <c r="AB548" s="15" t="n">
        <f aca="false">PI()*POWER((U548/200),2)</f>
        <v>0</v>
      </c>
    </row>
    <row r="549" customFormat="false" ht="15" hidden="false" customHeight="false" outlineLevel="0" collapsed="false">
      <c r="A549" s="2" t="s">
        <v>20</v>
      </c>
      <c r="B549" s="2" t="n">
        <v>3</v>
      </c>
      <c r="C549" s="64" t="n">
        <v>46265</v>
      </c>
      <c r="D549" s="2" t="n">
        <v>3</v>
      </c>
      <c r="E549" s="2" t="s">
        <v>31</v>
      </c>
      <c r="F549" s="2" t="s">
        <v>34</v>
      </c>
      <c r="G549" s="2" t="s">
        <v>140</v>
      </c>
      <c r="H549" s="2" t="s">
        <v>32</v>
      </c>
      <c r="I549" s="2" t="s">
        <v>25</v>
      </c>
      <c r="J549" s="2" t="n">
        <v>33</v>
      </c>
      <c r="K549" s="2" t="s">
        <v>147</v>
      </c>
      <c r="L549" s="15" t="n">
        <f aca="false">SUM(V549:AB549)</f>
        <v>0.0317308711994203</v>
      </c>
      <c r="M549" s="63" t="n">
        <f aca="false">MAX(O549:U549)</f>
        <v>20.1</v>
      </c>
      <c r="N549" s="15" t="n">
        <f aca="false">COUNTIF(M549,"&gt;9.9")</f>
        <v>1</v>
      </c>
      <c r="O549" s="2" t="n">
        <v>20.1</v>
      </c>
      <c r="V549" s="15" t="n">
        <f aca="false">PI()*POWER((O549/200),2)</f>
        <v>0.0317308711994203</v>
      </c>
      <c r="W549" s="15" t="n">
        <f aca="false">PI()*POWER((P549/200),2)</f>
        <v>0</v>
      </c>
      <c r="X549" s="15" t="n">
        <f aca="false">PI()*POWER((Q549/200),2)</f>
        <v>0</v>
      </c>
      <c r="Y549" s="15" t="n">
        <f aca="false">PI()*POWER((R549/200),2)</f>
        <v>0</v>
      </c>
      <c r="Z549" s="15" t="n">
        <f aca="false">PI()*POWER((S549/200),2)</f>
        <v>0</v>
      </c>
      <c r="AA549" s="15" t="n">
        <f aca="false">PI()*POWER((T549/200),2)</f>
        <v>0</v>
      </c>
      <c r="AB549" s="15" t="n">
        <f aca="false">PI()*POWER((U549/200),2)</f>
        <v>0</v>
      </c>
    </row>
    <row r="550" customFormat="false" ht="15" hidden="false" customHeight="false" outlineLevel="0" collapsed="false">
      <c r="A550" s="2" t="s">
        <v>20</v>
      </c>
      <c r="B550" s="2" t="n">
        <v>3</v>
      </c>
      <c r="C550" s="64" t="n">
        <v>46265</v>
      </c>
      <c r="D550" s="2" t="n">
        <v>3</v>
      </c>
      <c r="E550" s="2" t="s">
        <v>140</v>
      </c>
      <c r="F550" s="2" t="s">
        <v>32</v>
      </c>
      <c r="G550" s="2" t="s">
        <v>31</v>
      </c>
      <c r="H550" s="2" t="s">
        <v>34</v>
      </c>
      <c r="I550" s="2" t="s">
        <v>25</v>
      </c>
      <c r="J550" s="2" t="n">
        <v>10</v>
      </c>
      <c r="K550" s="2" t="s">
        <v>147</v>
      </c>
      <c r="L550" s="15" t="n">
        <f aca="false">SUM(V550:AB550)</f>
        <v>0.0850122826043032</v>
      </c>
      <c r="M550" s="63" t="n">
        <f aca="false">MAX(O550:U550)</f>
        <v>32.9</v>
      </c>
      <c r="N550" s="15" t="n">
        <f aca="false">COUNTIF(M550,"&gt;9.9")</f>
        <v>1</v>
      </c>
      <c r="O550" s="2" t="n">
        <v>32.9</v>
      </c>
      <c r="V550" s="15" t="n">
        <f aca="false">PI()*POWER((O550/200),2)</f>
        <v>0.0850122826043032</v>
      </c>
      <c r="W550" s="15" t="n">
        <f aca="false">PI()*POWER((P550/200),2)</f>
        <v>0</v>
      </c>
      <c r="X550" s="15" t="n">
        <f aca="false">PI()*POWER((Q550/200),2)</f>
        <v>0</v>
      </c>
      <c r="Y550" s="15" t="n">
        <f aca="false">PI()*POWER((R550/200),2)</f>
        <v>0</v>
      </c>
      <c r="Z550" s="15" t="n">
        <f aca="false">PI()*POWER((S550/200),2)</f>
        <v>0</v>
      </c>
      <c r="AA550" s="15" t="n">
        <f aca="false">PI()*POWER((T550/200),2)</f>
        <v>0</v>
      </c>
      <c r="AB550" s="15" t="n">
        <f aca="false">PI()*POWER((U550/200),2)</f>
        <v>0</v>
      </c>
    </row>
    <row r="551" customFormat="false" ht="15" hidden="false" customHeight="false" outlineLevel="0" collapsed="false">
      <c r="A551" s="2" t="s">
        <v>20</v>
      </c>
      <c r="B551" s="2" t="n">
        <v>3</v>
      </c>
      <c r="C551" s="64" t="n">
        <v>46265</v>
      </c>
      <c r="D551" s="2" t="n">
        <v>3</v>
      </c>
      <c r="E551" s="2" t="s">
        <v>140</v>
      </c>
      <c r="F551" s="2" t="s">
        <v>32</v>
      </c>
      <c r="G551" s="2" t="s">
        <v>31</v>
      </c>
      <c r="H551" s="2" t="s">
        <v>34</v>
      </c>
      <c r="I551" s="2" t="s">
        <v>25</v>
      </c>
      <c r="J551" s="2" t="n">
        <v>1</v>
      </c>
      <c r="K551" s="32" t="s">
        <v>105</v>
      </c>
      <c r="L551" s="15"/>
      <c r="M551" s="63" t="n">
        <f aca="false">MAX(O551:U551)</f>
        <v>1.8</v>
      </c>
      <c r="N551" s="15" t="n">
        <f aca="false">COUNTIF(M551,"&gt;9.9")</f>
        <v>0</v>
      </c>
      <c r="O551" s="2" t="n">
        <v>1.8</v>
      </c>
      <c r="V551" s="15" t="n">
        <f aca="false">PI()*POWER((O551/200),2)</f>
        <v>0.000254469004940773</v>
      </c>
      <c r="W551" s="15" t="n">
        <f aca="false">PI()*POWER((P551/200),2)</f>
        <v>0</v>
      </c>
      <c r="X551" s="15" t="n">
        <f aca="false">PI()*POWER((Q551/200),2)</f>
        <v>0</v>
      </c>
      <c r="Y551" s="15" t="n">
        <f aca="false">PI()*POWER((R551/200),2)</f>
        <v>0</v>
      </c>
      <c r="Z551" s="15" t="n">
        <f aca="false">PI()*POWER((S551/200),2)</f>
        <v>0</v>
      </c>
      <c r="AA551" s="15" t="n">
        <f aca="false">PI()*POWER((T551/200),2)</f>
        <v>0</v>
      </c>
      <c r="AB551" s="15" t="n">
        <f aca="false">PI()*POWER((U551/200),2)</f>
        <v>0</v>
      </c>
    </row>
    <row r="552" customFormat="false" ht="15" hidden="false" customHeight="false" outlineLevel="0" collapsed="false">
      <c r="A552" s="2" t="s">
        <v>20</v>
      </c>
      <c r="B552" s="2" t="n">
        <v>3</v>
      </c>
      <c r="C552" s="64" t="n">
        <v>46265</v>
      </c>
      <c r="D552" s="2" t="n">
        <v>3</v>
      </c>
      <c r="E552" s="2" t="s">
        <v>31</v>
      </c>
      <c r="F552" s="2" t="s">
        <v>34</v>
      </c>
      <c r="G552" s="2" t="s">
        <v>140</v>
      </c>
      <c r="H552" s="2" t="s">
        <v>32</v>
      </c>
      <c r="I552" s="2" t="s">
        <v>25</v>
      </c>
      <c r="J552" s="2" t="n">
        <v>51</v>
      </c>
      <c r="K552" s="32" t="s">
        <v>105</v>
      </c>
      <c r="L552" s="15" t="n">
        <f aca="false">SUM(V552:AB552)</f>
        <v>0.000283528736986479</v>
      </c>
      <c r="M552" s="63" t="n">
        <f aca="false">MAX(O552:U552)</f>
        <v>1.9</v>
      </c>
      <c r="N552" s="15" t="n">
        <f aca="false">COUNTIF(M552,"&gt;9.9")</f>
        <v>0</v>
      </c>
      <c r="O552" s="2" t="n">
        <v>1.9</v>
      </c>
      <c r="V552" s="15" t="n">
        <f aca="false">PI()*POWER((O552/200),2)</f>
        <v>0.000283528736986479</v>
      </c>
      <c r="W552" s="15" t="n">
        <f aca="false">PI()*POWER((P552/200),2)</f>
        <v>0</v>
      </c>
      <c r="X552" s="15" t="n">
        <f aca="false">PI()*POWER((Q552/200),2)</f>
        <v>0</v>
      </c>
      <c r="Y552" s="15" t="n">
        <f aca="false">PI()*POWER((R552/200),2)</f>
        <v>0</v>
      </c>
      <c r="Z552" s="15" t="n">
        <f aca="false">PI()*POWER((S552/200),2)</f>
        <v>0</v>
      </c>
      <c r="AA552" s="15" t="n">
        <f aca="false">PI()*POWER((T552/200),2)</f>
        <v>0</v>
      </c>
      <c r="AB552" s="15" t="n">
        <f aca="false">PI()*POWER((U552/200),2)</f>
        <v>0</v>
      </c>
    </row>
    <row r="553" customFormat="false" ht="15" hidden="false" customHeight="false" outlineLevel="0" collapsed="false">
      <c r="A553" s="2" t="s">
        <v>20</v>
      </c>
      <c r="B553" s="2" t="n">
        <v>3</v>
      </c>
      <c r="C553" s="64" t="n">
        <v>46265</v>
      </c>
      <c r="D553" s="2" t="n">
        <v>3</v>
      </c>
      <c r="E553" s="2" t="s">
        <v>140</v>
      </c>
      <c r="F553" s="2" t="s">
        <v>32</v>
      </c>
      <c r="G553" s="2" t="s">
        <v>31</v>
      </c>
      <c r="H553" s="2" t="s">
        <v>34</v>
      </c>
      <c r="I553" s="2" t="s">
        <v>25</v>
      </c>
      <c r="J553" s="2" t="n">
        <v>19</v>
      </c>
      <c r="K553" s="32" t="s">
        <v>105</v>
      </c>
      <c r="L553" s="15" t="n">
        <f aca="false">SUM(V553:AB553)</f>
        <v>0.000283528736986479</v>
      </c>
      <c r="M553" s="63" t="n">
        <f aca="false">MAX(O553:U553)</f>
        <v>1.9</v>
      </c>
      <c r="N553" s="15" t="n">
        <f aca="false">COUNTIF(M553,"&gt;9.9")</f>
        <v>0</v>
      </c>
      <c r="O553" s="2" t="n">
        <v>1.9</v>
      </c>
      <c r="V553" s="15" t="n">
        <f aca="false">PI()*POWER((O553/200),2)</f>
        <v>0.000283528736986479</v>
      </c>
      <c r="W553" s="15" t="n">
        <f aca="false">PI()*POWER((P553/200),2)</f>
        <v>0</v>
      </c>
      <c r="X553" s="15" t="n">
        <f aca="false">PI()*POWER((Q553/200),2)</f>
        <v>0</v>
      </c>
      <c r="Y553" s="15" t="n">
        <f aca="false">PI()*POWER((R553/200),2)</f>
        <v>0</v>
      </c>
      <c r="Z553" s="15" t="n">
        <f aca="false">PI()*POWER((S553/200),2)</f>
        <v>0</v>
      </c>
      <c r="AA553" s="15" t="n">
        <f aca="false">PI()*POWER((T553/200),2)</f>
        <v>0</v>
      </c>
      <c r="AB553" s="15" t="n">
        <f aca="false">PI()*POWER((U553/200),2)</f>
        <v>0</v>
      </c>
    </row>
    <row r="554" customFormat="false" ht="15" hidden="false" customHeight="false" outlineLevel="0" collapsed="false">
      <c r="A554" s="2" t="s">
        <v>20</v>
      </c>
      <c r="B554" s="2" t="n">
        <v>3</v>
      </c>
      <c r="C554" s="64" t="n">
        <v>46265</v>
      </c>
      <c r="D554" s="2" t="n">
        <v>3</v>
      </c>
      <c r="E554" s="2" t="s">
        <v>140</v>
      </c>
      <c r="F554" s="2" t="s">
        <v>32</v>
      </c>
      <c r="G554" s="2" t="s">
        <v>31</v>
      </c>
      <c r="H554" s="2" t="s">
        <v>34</v>
      </c>
      <c r="I554" s="2" t="s">
        <v>25</v>
      </c>
      <c r="J554" s="2" t="n">
        <v>6</v>
      </c>
      <c r="K554" s="32" t="s">
        <v>105</v>
      </c>
      <c r="L554" s="15" t="n">
        <f aca="false">SUM(V554:AB554)</f>
        <v>0.00101787601976309</v>
      </c>
      <c r="M554" s="63" t="n">
        <f aca="false">MAX(O554:U554)</f>
        <v>3.6</v>
      </c>
      <c r="N554" s="15" t="n">
        <f aca="false">COUNTIF(M554,"&gt;9.9")</f>
        <v>0</v>
      </c>
      <c r="O554" s="2" t="n">
        <v>3.6</v>
      </c>
      <c r="V554" s="15" t="n">
        <f aca="false">PI()*POWER((O554/200),2)</f>
        <v>0.00101787601976309</v>
      </c>
      <c r="W554" s="15" t="n">
        <f aca="false">PI()*POWER((P554/200),2)</f>
        <v>0</v>
      </c>
      <c r="X554" s="15" t="n">
        <f aca="false">PI()*POWER((Q554/200),2)</f>
        <v>0</v>
      </c>
      <c r="Y554" s="15" t="n">
        <f aca="false">PI()*POWER((R554/200),2)</f>
        <v>0</v>
      </c>
      <c r="Z554" s="15" t="n">
        <f aca="false">PI()*POWER((S554/200),2)</f>
        <v>0</v>
      </c>
      <c r="AA554" s="15" t="n">
        <f aca="false">PI()*POWER((T554/200),2)</f>
        <v>0</v>
      </c>
      <c r="AB554" s="15" t="n">
        <f aca="false">PI()*POWER((U554/200),2)</f>
        <v>0</v>
      </c>
    </row>
    <row r="555" customFormat="false" ht="15" hidden="false" customHeight="false" outlineLevel="0" collapsed="false">
      <c r="A555" s="2" t="s">
        <v>20</v>
      </c>
      <c r="B555" s="2" t="n">
        <v>3</v>
      </c>
      <c r="C555" s="64" t="n">
        <v>46265</v>
      </c>
      <c r="D555" s="2" t="n">
        <v>3</v>
      </c>
      <c r="E555" s="2" t="s">
        <v>31</v>
      </c>
      <c r="F555" s="2" t="s">
        <v>34</v>
      </c>
      <c r="G555" s="2" t="s">
        <v>140</v>
      </c>
      <c r="H555" s="2" t="s">
        <v>32</v>
      </c>
      <c r="I555" s="2" t="s">
        <v>25</v>
      </c>
      <c r="J555" s="2" t="n">
        <v>34</v>
      </c>
      <c r="K555" s="32" t="s">
        <v>105</v>
      </c>
      <c r="L555" s="15" t="n">
        <f aca="false">SUM(V555:AB555)</f>
        <v>0.00107521008569111</v>
      </c>
      <c r="M555" s="63" t="n">
        <f aca="false">MAX(O555:U555)</f>
        <v>3.7</v>
      </c>
      <c r="N555" s="15" t="n">
        <f aca="false">COUNTIF(M555,"&gt;9.9")</f>
        <v>0</v>
      </c>
      <c r="O555" s="2" t="n">
        <v>3.7</v>
      </c>
      <c r="V555" s="15" t="n">
        <f aca="false">PI()*POWER((O555/200),2)</f>
        <v>0.00107521008569111</v>
      </c>
      <c r="W555" s="15" t="n">
        <f aca="false">PI()*POWER((P555/200),2)</f>
        <v>0</v>
      </c>
      <c r="X555" s="15" t="n">
        <f aca="false">PI()*POWER((Q555/200),2)</f>
        <v>0</v>
      </c>
      <c r="Y555" s="15" t="n">
        <f aca="false">PI()*POWER((R555/200),2)</f>
        <v>0</v>
      </c>
      <c r="Z555" s="15" t="n">
        <f aca="false">PI()*POWER((S555/200),2)</f>
        <v>0</v>
      </c>
      <c r="AA555" s="15" t="n">
        <f aca="false">PI()*POWER((T555/200),2)</f>
        <v>0</v>
      </c>
      <c r="AB555" s="15" t="n">
        <f aca="false">PI()*POWER((U555/200),2)</f>
        <v>0</v>
      </c>
    </row>
    <row r="556" customFormat="false" ht="15" hidden="false" customHeight="false" outlineLevel="0" collapsed="false">
      <c r="A556" s="2" t="s">
        <v>20</v>
      </c>
      <c r="B556" s="2" t="n">
        <v>3</v>
      </c>
      <c r="C556" s="64" t="n">
        <v>46265</v>
      </c>
      <c r="D556" s="2" t="n">
        <v>3</v>
      </c>
      <c r="E556" s="2" t="s">
        <v>31</v>
      </c>
      <c r="F556" s="2" t="s">
        <v>34</v>
      </c>
      <c r="G556" s="2" t="s">
        <v>140</v>
      </c>
      <c r="H556" s="2" t="s">
        <v>32</v>
      </c>
      <c r="I556" s="2" t="s">
        <v>25</v>
      </c>
      <c r="J556" s="2" t="n">
        <v>55</v>
      </c>
      <c r="K556" s="32" t="s">
        <v>105</v>
      </c>
      <c r="L556" s="15" t="n">
        <f aca="false">SUM(V556:AB556)</f>
        <v>0.00132025431267111</v>
      </c>
      <c r="M556" s="63" t="n">
        <f aca="false">MAX(O556:U556)</f>
        <v>4.1</v>
      </c>
      <c r="N556" s="15" t="n">
        <f aca="false">COUNTIF(M556,"&gt;9.9")</f>
        <v>0</v>
      </c>
      <c r="O556" s="2" t="n">
        <v>4.1</v>
      </c>
      <c r="V556" s="15" t="n">
        <f aca="false">PI()*POWER((O556/200),2)</f>
        <v>0.00132025431267111</v>
      </c>
      <c r="W556" s="15" t="n">
        <f aca="false">PI()*POWER((P556/200),2)</f>
        <v>0</v>
      </c>
      <c r="X556" s="15" t="n">
        <f aca="false">PI()*POWER((Q556/200),2)</f>
        <v>0</v>
      </c>
      <c r="Y556" s="15" t="n">
        <f aca="false">PI()*POWER((R556/200),2)</f>
        <v>0</v>
      </c>
      <c r="Z556" s="15" t="n">
        <f aca="false">PI()*POWER((S556/200),2)</f>
        <v>0</v>
      </c>
      <c r="AA556" s="15" t="n">
        <f aca="false">PI()*POWER((T556/200),2)</f>
        <v>0</v>
      </c>
      <c r="AB556" s="15" t="n">
        <f aca="false">PI()*POWER((U556/200),2)</f>
        <v>0</v>
      </c>
    </row>
    <row r="557" customFormat="false" ht="15" hidden="false" customHeight="false" outlineLevel="0" collapsed="false">
      <c r="A557" s="2" t="s">
        <v>20</v>
      </c>
      <c r="B557" s="2" t="n">
        <v>3</v>
      </c>
      <c r="C557" s="64" t="n">
        <v>46265</v>
      </c>
      <c r="D557" s="2" t="n">
        <v>3</v>
      </c>
      <c r="E557" s="2" t="s">
        <v>31</v>
      </c>
      <c r="F557" s="2" t="s">
        <v>34</v>
      </c>
      <c r="G557" s="2" t="s">
        <v>140</v>
      </c>
      <c r="H557" s="2" t="s">
        <v>32</v>
      </c>
      <c r="I557" s="2" t="s">
        <v>25</v>
      </c>
      <c r="J557" s="2" t="n">
        <v>52</v>
      </c>
      <c r="K557" s="32" t="s">
        <v>105</v>
      </c>
      <c r="L557" s="15" t="n">
        <f aca="false">SUM(V557:AB557)</f>
        <v>0.00174044233008875</v>
      </c>
      <c r="M557" s="63" t="n">
        <f aca="false">MAX(O557:U557)</f>
        <v>4.6</v>
      </c>
      <c r="N557" s="15" t="n">
        <f aca="false">COUNTIF(M557,"&gt;9.9")</f>
        <v>0</v>
      </c>
      <c r="O557" s="2" t="n">
        <v>4.6</v>
      </c>
      <c r="P557" s="2" t="n">
        <v>1</v>
      </c>
      <c r="V557" s="15" t="n">
        <f aca="false">PI()*POWER((O557/200),2)</f>
        <v>0.001661902513749</v>
      </c>
      <c r="W557" s="15" t="n">
        <f aca="false">PI()*POWER((P557/200),2)</f>
        <v>7.85398163397448E-005</v>
      </c>
      <c r="X557" s="15" t="n">
        <f aca="false">PI()*POWER((Q557/200),2)</f>
        <v>0</v>
      </c>
      <c r="Y557" s="15" t="n">
        <f aca="false">PI()*POWER((R557/200),2)</f>
        <v>0</v>
      </c>
      <c r="Z557" s="15" t="n">
        <f aca="false">PI()*POWER((S557/200),2)</f>
        <v>0</v>
      </c>
      <c r="AA557" s="15" t="n">
        <f aca="false">PI()*POWER((T557/200),2)</f>
        <v>0</v>
      </c>
      <c r="AB557" s="15" t="n">
        <f aca="false">PI()*POWER((U557/200),2)</f>
        <v>0</v>
      </c>
    </row>
    <row r="558" customFormat="false" ht="15" hidden="false" customHeight="false" outlineLevel="0" collapsed="false">
      <c r="A558" s="2" t="s">
        <v>20</v>
      </c>
      <c r="B558" s="2" t="n">
        <v>3</v>
      </c>
      <c r="C558" s="64" t="n">
        <v>46265</v>
      </c>
      <c r="D558" s="2" t="n">
        <v>3</v>
      </c>
      <c r="E558" s="2" t="s">
        <v>31</v>
      </c>
      <c r="F558" s="2" t="s">
        <v>34</v>
      </c>
      <c r="G558" s="2" t="s">
        <v>140</v>
      </c>
      <c r="H558" s="2" t="s">
        <v>32</v>
      </c>
      <c r="I558" s="2" t="s">
        <v>25</v>
      </c>
      <c r="J558" s="2" t="n">
        <v>58</v>
      </c>
      <c r="K558" s="32" t="s">
        <v>105</v>
      </c>
      <c r="L558" s="15" t="n">
        <f aca="false">SUM(V558:AB558)</f>
        <v>0.00180955736846772</v>
      </c>
      <c r="M558" s="63" t="n">
        <f aca="false">MAX(O558:U558)</f>
        <v>4.8</v>
      </c>
      <c r="N558" s="15" t="n">
        <f aca="false">COUNTIF(M558,"&gt;9.9")</f>
        <v>0</v>
      </c>
      <c r="O558" s="2" t="n">
        <v>4.8</v>
      </c>
      <c r="V558" s="15" t="n">
        <f aca="false">PI()*POWER((O558/200),2)</f>
        <v>0.00180955736846772</v>
      </c>
      <c r="W558" s="15" t="n">
        <f aca="false">PI()*POWER((P558/200),2)</f>
        <v>0</v>
      </c>
      <c r="X558" s="15" t="n">
        <f aca="false">PI()*POWER((Q558/200),2)</f>
        <v>0</v>
      </c>
      <c r="Y558" s="15" t="n">
        <f aca="false">PI()*POWER((R558/200),2)</f>
        <v>0</v>
      </c>
      <c r="Z558" s="15" t="n">
        <f aca="false">PI()*POWER((S558/200),2)</f>
        <v>0</v>
      </c>
      <c r="AA558" s="15" t="n">
        <f aca="false">PI()*POWER((T558/200),2)</f>
        <v>0</v>
      </c>
      <c r="AB558" s="15" t="n">
        <f aca="false">PI()*POWER((U558/200),2)</f>
        <v>0</v>
      </c>
    </row>
    <row r="559" customFormat="false" ht="15" hidden="false" customHeight="false" outlineLevel="0" collapsed="false">
      <c r="A559" s="2" t="s">
        <v>20</v>
      </c>
      <c r="B559" s="2" t="n">
        <v>3</v>
      </c>
      <c r="C559" s="64" t="n">
        <v>46265</v>
      </c>
      <c r="D559" s="2" t="n">
        <v>3</v>
      </c>
      <c r="E559" s="2" t="s">
        <v>140</v>
      </c>
      <c r="F559" s="2" t="s">
        <v>32</v>
      </c>
      <c r="G559" s="2" t="s">
        <v>31</v>
      </c>
      <c r="H559" s="2" t="s">
        <v>34</v>
      </c>
      <c r="I559" s="2" t="s">
        <v>25</v>
      </c>
      <c r="J559" s="2" t="n">
        <v>9</v>
      </c>
      <c r="K559" s="32" t="s">
        <v>105</v>
      </c>
      <c r="L559" s="15" t="n">
        <f aca="false">SUM(V559:AB559)</f>
        <v>0.00204282062299676</v>
      </c>
      <c r="M559" s="63" t="n">
        <f aca="false">MAX(O559:U559)</f>
        <v>5.1</v>
      </c>
      <c r="N559" s="15" t="n">
        <f aca="false">COUNTIF(M559,"&gt;9.9")</f>
        <v>0</v>
      </c>
      <c r="O559" s="2" t="n">
        <v>5.1</v>
      </c>
      <c r="V559" s="15" t="n">
        <f aca="false">PI()*POWER((O559/200),2)</f>
        <v>0.00204282062299676</v>
      </c>
      <c r="W559" s="15" t="n">
        <f aca="false">PI()*POWER((P559/200),2)</f>
        <v>0</v>
      </c>
      <c r="X559" s="15" t="n">
        <f aca="false">PI()*POWER((Q559/200),2)</f>
        <v>0</v>
      </c>
      <c r="Y559" s="15" t="n">
        <f aca="false">PI()*POWER((R559/200),2)</f>
        <v>0</v>
      </c>
      <c r="Z559" s="15" t="n">
        <f aca="false">PI()*POWER((S559/200),2)</f>
        <v>0</v>
      </c>
      <c r="AA559" s="15" t="n">
        <f aca="false">PI()*POWER((T559/200),2)</f>
        <v>0</v>
      </c>
      <c r="AB559" s="15" t="n">
        <f aca="false">PI()*POWER((U559/200),2)</f>
        <v>0</v>
      </c>
    </row>
    <row r="560" customFormat="false" ht="15" hidden="false" customHeight="false" outlineLevel="0" collapsed="false">
      <c r="A560" s="2" t="s">
        <v>20</v>
      </c>
      <c r="B560" s="2" t="n">
        <v>3</v>
      </c>
      <c r="C560" s="64" t="n">
        <v>46265</v>
      </c>
      <c r="D560" s="2" t="n">
        <v>3</v>
      </c>
      <c r="E560" s="2" t="s">
        <v>31</v>
      </c>
      <c r="F560" s="2" t="s">
        <v>34</v>
      </c>
      <c r="G560" s="2" t="s">
        <v>140</v>
      </c>
      <c r="H560" s="2" t="s">
        <v>32</v>
      </c>
      <c r="I560" s="2" t="s">
        <v>25</v>
      </c>
      <c r="J560" s="2" t="n">
        <v>42</v>
      </c>
      <c r="K560" s="32" t="s">
        <v>105</v>
      </c>
      <c r="L560" s="15" t="n">
        <f aca="false">SUM(V560:AB560)</f>
        <v>0.00237582944427728</v>
      </c>
      <c r="M560" s="63" t="n">
        <f aca="false">MAX(O560:U560)</f>
        <v>5.5</v>
      </c>
      <c r="N560" s="15" t="n">
        <f aca="false">COUNTIF(M560,"&gt;9.9")</f>
        <v>0</v>
      </c>
      <c r="O560" s="2" t="n">
        <v>5.5</v>
      </c>
      <c r="V560" s="15" t="n">
        <f aca="false">PI()*POWER((O560/200),2)</f>
        <v>0.00237582944427728</v>
      </c>
      <c r="W560" s="15" t="n">
        <f aca="false">PI()*POWER((P560/200),2)</f>
        <v>0</v>
      </c>
      <c r="X560" s="15" t="n">
        <f aca="false">PI()*POWER((Q560/200),2)</f>
        <v>0</v>
      </c>
      <c r="Y560" s="15" t="n">
        <f aca="false">PI()*POWER((R560/200),2)</f>
        <v>0</v>
      </c>
      <c r="Z560" s="15" t="n">
        <f aca="false">PI()*POWER((S560/200),2)</f>
        <v>0</v>
      </c>
      <c r="AA560" s="15" t="n">
        <f aca="false">PI()*POWER((T560/200),2)</f>
        <v>0</v>
      </c>
      <c r="AB560" s="15" t="n">
        <f aca="false">PI()*POWER((U560/200),2)</f>
        <v>0</v>
      </c>
    </row>
    <row r="561" customFormat="false" ht="15" hidden="false" customHeight="false" outlineLevel="0" collapsed="false">
      <c r="A561" s="2" t="s">
        <v>20</v>
      </c>
      <c r="B561" s="2" t="n">
        <v>3</v>
      </c>
      <c r="C561" s="64" t="n">
        <v>46265</v>
      </c>
      <c r="D561" s="2" t="n">
        <v>3</v>
      </c>
      <c r="E561" s="2" t="s">
        <v>31</v>
      </c>
      <c r="F561" s="2" t="s">
        <v>34</v>
      </c>
      <c r="G561" s="2" t="s">
        <v>140</v>
      </c>
      <c r="H561" s="2" t="s">
        <v>32</v>
      </c>
      <c r="I561" s="2" t="s">
        <v>25</v>
      </c>
      <c r="J561" s="2" t="n">
        <v>56</v>
      </c>
      <c r="K561" s="32" t="s">
        <v>105</v>
      </c>
      <c r="L561" s="15" t="n">
        <f aca="false">SUM(V561:AB561)</f>
        <v>0.00331830724035422</v>
      </c>
      <c r="M561" s="63" t="n">
        <f aca="false">MAX(O561:U561)</f>
        <v>6.5</v>
      </c>
      <c r="N561" s="15" t="n">
        <f aca="false">COUNTIF(M561,"&gt;9.9")</f>
        <v>0</v>
      </c>
      <c r="O561" s="2" t="n">
        <v>6.5</v>
      </c>
      <c r="V561" s="15" t="n">
        <f aca="false">PI()*POWER((O561/200),2)</f>
        <v>0.00331830724035422</v>
      </c>
      <c r="W561" s="15" t="n">
        <f aca="false">PI()*POWER((P561/200),2)</f>
        <v>0</v>
      </c>
      <c r="X561" s="15" t="n">
        <f aca="false">PI()*POWER((Q561/200),2)</f>
        <v>0</v>
      </c>
      <c r="Y561" s="15" t="n">
        <f aca="false">PI()*POWER((R561/200),2)</f>
        <v>0</v>
      </c>
      <c r="Z561" s="15" t="n">
        <f aca="false">PI()*POWER((S561/200),2)</f>
        <v>0</v>
      </c>
      <c r="AA561" s="15" t="n">
        <f aca="false">PI()*POWER((T561/200),2)</f>
        <v>0</v>
      </c>
      <c r="AB561" s="15" t="n">
        <f aca="false">PI()*POWER((U561/200),2)</f>
        <v>0</v>
      </c>
    </row>
    <row r="562" customFormat="false" ht="15" hidden="false" customHeight="false" outlineLevel="0" collapsed="false">
      <c r="A562" s="2" t="s">
        <v>20</v>
      </c>
      <c r="B562" s="2" t="n">
        <v>3</v>
      </c>
      <c r="C562" s="64" t="n">
        <v>46265</v>
      </c>
      <c r="D562" s="2" t="n">
        <v>3</v>
      </c>
      <c r="E562" s="2" t="s">
        <v>31</v>
      </c>
      <c r="F562" s="2" t="s">
        <v>34</v>
      </c>
      <c r="G562" s="2" t="s">
        <v>140</v>
      </c>
      <c r="H562" s="2" t="s">
        <v>32</v>
      </c>
      <c r="I562" s="2" t="s">
        <v>25</v>
      </c>
      <c r="J562" s="2" t="n">
        <v>44</v>
      </c>
      <c r="K562" s="32" t="s">
        <v>105</v>
      </c>
      <c r="L562" s="15" t="n">
        <f aca="false">SUM(V562:AB562)</f>
        <v>0.00528101725068444</v>
      </c>
      <c r="M562" s="63" t="n">
        <f aca="false">MAX(O562:U562)</f>
        <v>8.2</v>
      </c>
      <c r="N562" s="15" t="n">
        <f aca="false">COUNTIF(M562,"&gt;9.9")</f>
        <v>0</v>
      </c>
      <c r="O562" s="2" t="n">
        <v>8.2</v>
      </c>
      <c r="V562" s="15" t="n">
        <f aca="false">PI()*POWER((O562/200),2)</f>
        <v>0.00528101725068444</v>
      </c>
      <c r="W562" s="15" t="n">
        <f aca="false">PI()*POWER((P562/200),2)</f>
        <v>0</v>
      </c>
      <c r="X562" s="15" t="n">
        <f aca="false">PI()*POWER((Q562/200),2)</f>
        <v>0</v>
      </c>
      <c r="Y562" s="15" t="n">
        <f aca="false">PI()*POWER((R562/200),2)</f>
        <v>0</v>
      </c>
      <c r="Z562" s="15" t="n">
        <f aca="false">PI()*POWER((S562/200),2)</f>
        <v>0</v>
      </c>
      <c r="AA562" s="15" t="n">
        <f aca="false">PI()*POWER((T562/200),2)</f>
        <v>0</v>
      </c>
      <c r="AB562" s="15" t="n">
        <f aca="false">PI()*POWER((U562/200),2)</f>
        <v>0</v>
      </c>
    </row>
    <row r="563" customFormat="false" ht="15" hidden="false" customHeight="false" outlineLevel="0" collapsed="false">
      <c r="A563" s="2" t="s">
        <v>20</v>
      </c>
      <c r="B563" s="2" t="n">
        <v>3</v>
      </c>
      <c r="C563" s="64" t="n">
        <v>46265</v>
      </c>
      <c r="D563" s="2" t="n">
        <v>3</v>
      </c>
      <c r="E563" s="2" t="s">
        <v>140</v>
      </c>
      <c r="F563" s="2" t="s">
        <v>32</v>
      </c>
      <c r="G563" s="2" t="s">
        <v>31</v>
      </c>
      <c r="H563" s="2" t="s">
        <v>34</v>
      </c>
      <c r="I563" s="2" t="s">
        <v>25</v>
      </c>
      <c r="J563" s="2" t="n">
        <v>8</v>
      </c>
      <c r="K563" s="32" t="s">
        <v>105</v>
      </c>
      <c r="L563" s="15" t="n">
        <f aca="false">SUM(V563:AB563)</f>
        <v>0.00608212337734984</v>
      </c>
      <c r="M563" s="63" t="n">
        <f aca="false">MAX(O563:U563)</f>
        <v>8.8</v>
      </c>
      <c r="N563" s="15" t="n">
        <f aca="false">COUNTIF(M563,"&gt;9.9")</f>
        <v>0</v>
      </c>
      <c r="O563" s="2" t="n">
        <v>8.8</v>
      </c>
      <c r="V563" s="15" t="n">
        <f aca="false">PI()*POWER((O563/200),2)</f>
        <v>0.00608212337734984</v>
      </c>
      <c r="W563" s="15" t="n">
        <f aca="false">PI()*POWER((P563/200),2)</f>
        <v>0</v>
      </c>
      <c r="X563" s="15" t="n">
        <f aca="false">PI()*POWER((Q563/200),2)</f>
        <v>0</v>
      </c>
      <c r="Y563" s="15" t="n">
        <f aca="false">PI()*POWER((R563/200),2)</f>
        <v>0</v>
      </c>
      <c r="Z563" s="15" t="n">
        <f aca="false">PI()*POWER((S563/200),2)</f>
        <v>0</v>
      </c>
      <c r="AA563" s="15" t="n">
        <f aca="false">PI()*POWER((T563/200),2)</f>
        <v>0</v>
      </c>
      <c r="AB563" s="15" t="n">
        <f aca="false">PI()*POWER((U563/200),2)</f>
        <v>0</v>
      </c>
    </row>
    <row r="564" customFormat="false" ht="15" hidden="false" customHeight="false" outlineLevel="0" collapsed="false">
      <c r="A564" s="2" t="s">
        <v>20</v>
      </c>
      <c r="B564" s="2" t="n">
        <v>3</v>
      </c>
      <c r="C564" s="64" t="n">
        <v>46265</v>
      </c>
      <c r="D564" s="2" t="n">
        <v>3</v>
      </c>
      <c r="E564" s="2" t="s">
        <v>140</v>
      </c>
      <c r="F564" s="2" t="s">
        <v>32</v>
      </c>
      <c r="G564" s="2" t="s">
        <v>31</v>
      </c>
      <c r="H564" s="2" t="s">
        <v>34</v>
      </c>
      <c r="I564" s="2" t="s">
        <v>25</v>
      </c>
      <c r="J564" s="2" t="n">
        <v>30</v>
      </c>
      <c r="K564" s="32" t="s">
        <v>105</v>
      </c>
      <c r="L564" s="15" t="n">
        <f aca="false">SUM(V564:AB564)</f>
        <v>0.00882473376393373</v>
      </c>
      <c r="M564" s="63" t="n">
        <f aca="false">MAX(O564:U564)</f>
        <v>10.6</v>
      </c>
      <c r="N564" s="15" t="n">
        <f aca="false">COUNTIF(M564,"&gt;9.9")</f>
        <v>1</v>
      </c>
      <c r="O564" s="2" t="n">
        <v>10.6</v>
      </c>
      <c r="V564" s="15" t="n">
        <f aca="false">PI()*POWER((O564/200),2)</f>
        <v>0.00882473376393373</v>
      </c>
      <c r="W564" s="15" t="n">
        <f aca="false">PI()*POWER((P564/200),2)</f>
        <v>0</v>
      </c>
      <c r="X564" s="15" t="n">
        <f aca="false">PI()*POWER((Q564/200),2)</f>
        <v>0</v>
      </c>
      <c r="Y564" s="15" t="n">
        <f aca="false">PI()*POWER((R564/200),2)</f>
        <v>0</v>
      </c>
      <c r="Z564" s="15" t="n">
        <f aca="false">PI()*POWER((S564/200),2)</f>
        <v>0</v>
      </c>
      <c r="AA564" s="15" t="n">
        <f aca="false">PI()*POWER((T564/200),2)</f>
        <v>0</v>
      </c>
      <c r="AB564" s="15" t="n">
        <f aca="false">PI()*POWER((U564/200),2)</f>
        <v>0</v>
      </c>
    </row>
    <row r="565" customFormat="false" ht="15" hidden="false" customHeight="false" outlineLevel="0" collapsed="false">
      <c r="A565" s="2" t="s">
        <v>20</v>
      </c>
      <c r="B565" s="2" t="n">
        <v>3</v>
      </c>
      <c r="C565" s="64" t="n">
        <v>46265</v>
      </c>
      <c r="D565" s="2" t="n">
        <v>3</v>
      </c>
      <c r="E565" s="2" t="s">
        <v>31</v>
      </c>
      <c r="F565" s="2" t="s">
        <v>34</v>
      </c>
      <c r="G565" s="2" t="s">
        <v>140</v>
      </c>
      <c r="H565" s="2" t="s">
        <v>32</v>
      </c>
      <c r="I565" s="2" t="s">
        <v>25</v>
      </c>
      <c r="J565" s="2" t="n">
        <v>31</v>
      </c>
      <c r="K565" s="32" t="s">
        <v>105</v>
      </c>
      <c r="L565" s="15" t="n">
        <f aca="false">SUM(V565:AB565)</f>
        <v>0.00950331777710912</v>
      </c>
      <c r="M565" s="63" t="n">
        <f aca="false">MAX(O565:U565)</f>
        <v>11</v>
      </c>
      <c r="N565" s="15" t="n">
        <f aca="false">COUNTIF(M565,"&gt;9.9")</f>
        <v>1</v>
      </c>
      <c r="O565" s="2" t="n">
        <v>11</v>
      </c>
      <c r="V565" s="15" t="n">
        <f aca="false">PI()*POWER((O565/200),2)</f>
        <v>0.00950331777710912</v>
      </c>
      <c r="W565" s="15" t="n">
        <f aca="false">PI()*POWER((P565/200),2)</f>
        <v>0</v>
      </c>
      <c r="X565" s="15" t="n">
        <f aca="false">PI()*POWER((Q565/200),2)</f>
        <v>0</v>
      </c>
      <c r="Y565" s="15" t="n">
        <f aca="false">PI()*POWER((R565/200),2)</f>
        <v>0</v>
      </c>
      <c r="Z565" s="15" t="n">
        <f aca="false">PI()*POWER((S565/200),2)</f>
        <v>0</v>
      </c>
      <c r="AA565" s="15" t="n">
        <f aca="false">PI()*POWER((T565/200),2)</f>
        <v>0</v>
      </c>
      <c r="AB565" s="15" t="n">
        <f aca="false">PI()*POWER((U565/200),2)</f>
        <v>0</v>
      </c>
    </row>
    <row r="566" customFormat="false" ht="15" hidden="false" customHeight="false" outlineLevel="0" collapsed="false">
      <c r="A566" s="2" t="s">
        <v>20</v>
      </c>
      <c r="B566" s="2" t="n">
        <v>3</v>
      </c>
      <c r="C566" s="64" t="n">
        <v>46265</v>
      </c>
      <c r="D566" s="2" t="n">
        <v>3</v>
      </c>
      <c r="E566" s="2" t="s">
        <v>31</v>
      </c>
      <c r="F566" s="2" t="s">
        <v>34</v>
      </c>
      <c r="G566" s="2" t="s">
        <v>140</v>
      </c>
      <c r="H566" s="2" t="s">
        <v>32</v>
      </c>
      <c r="I566" s="2" t="s">
        <v>25</v>
      </c>
      <c r="J566" s="2" t="n">
        <v>35</v>
      </c>
      <c r="K566" s="32" t="s">
        <v>105</v>
      </c>
      <c r="L566" s="15" t="n">
        <f aca="false">SUM(V566:AB566)</f>
        <v>0.0130698108370969</v>
      </c>
      <c r="M566" s="63" t="n">
        <f aca="false">MAX(O566:U566)</f>
        <v>12.9</v>
      </c>
      <c r="N566" s="15" t="n">
        <f aca="false">COUNTIF(M566,"&gt;9.9")</f>
        <v>1</v>
      </c>
      <c r="O566" s="2" t="n">
        <v>12.9</v>
      </c>
      <c r="V566" s="15" t="n">
        <f aca="false">PI()*POWER((O566/200),2)</f>
        <v>0.0130698108370969</v>
      </c>
      <c r="W566" s="15" t="n">
        <f aca="false">PI()*POWER((P566/200),2)</f>
        <v>0</v>
      </c>
      <c r="X566" s="15" t="n">
        <f aca="false">PI()*POWER((Q566/200),2)</f>
        <v>0</v>
      </c>
      <c r="Y566" s="15" t="n">
        <f aca="false">PI()*POWER((R566/200),2)</f>
        <v>0</v>
      </c>
      <c r="Z566" s="15" t="n">
        <f aca="false">PI()*POWER((S566/200),2)</f>
        <v>0</v>
      </c>
      <c r="AA566" s="15" t="n">
        <f aca="false">PI()*POWER((T566/200),2)</f>
        <v>0</v>
      </c>
      <c r="AB566" s="15" t="n">
        <f aca="false">PI()*POWER((U566/200),2)</f>
        <v>0</v>
      </c>
    </row>
    <row r="567" customFormat="false" ht="15" hidden="false" customHeight="false" outlineLevel="0" collapsed="false">
      <c r="A567" s="2" t="s">
        <v>20</v>
      </c>
      <c r="B567" s="2" t="n">
        <v>3</v>
      </c>
      <c r="C567" s="64" t="n">
        <v>46265</v>
      </c>
      <c r="D567" s="2" t="n">
        <v>3</v>
      </c>
      <c r="E567" s="2" t="s">
        <v>31</v>
      </c>
      <c r="F567" s="2" t="s">
        <v>34</v>
      </c>
      <c r="G567" s="2" t="s">
        <v>140</v>
      </c>
      <c r="H567" s="2" t="s">
        <v>32</v>
      </c>
      <c r="I567" s="2" t="s">
        <v>25</v>
      </c>
      <c r="J567" s="2" t="n">
        <v>53</v>
      </c>
      <c r="K567" s="32" t="s">
        <v>105</v>
      </c>
      <c r="L567" s="15" t="n">
        <f aca="false">SUM(V567:AB567)</f>
        <v>0.0179078635236252</v>
      </c>
      <c r="M567" s="63" t="n">
        <f aca="false">MAX(O567:U567)</f>
        <v>15.1</v>
      </c>
      <c r="N567" s="15" t="n">
        <f aca="false">COUNTIF(M567,"&gt;9.9")</f>
        <v>1</v>
      </c>
      <c r="O567" s="2" t="n">
        <v>15.1</v>
      </c>
      <c r="V567" s="15" t="n">
        <f aca="false">PI()*POWER((O567/200),2)</f>
        <v>0.0179078635236252</v>
      </c>
      <c r="W567" s="15" t="n">
        <f aca="false">PI()*POWER((P567/200),2)</f>
        <v>0</v>
      </c>
      <c r="X567" s="15" t="n">
        <f aca="false">PI()*POWER((Q567/200),2)</f>
        <v>0</v>
      </c>
      <c r="Y567" s="15" t="n">
        <f aca="false">PI()*POWER((R567/200),2)</f>
        <v>0</v>
      </c>
      <c r="Z567" s="15" t="n">
        <f aca="false">PI()*POWER((S567/200),2)</f>
        <v>0</v>
      </c>
      <c r="AA567" s="15" t="n">
        <f aca="false">PI()*POWER((T567/200),2)</f>
        <v>0</v>
      </c>
      <c r="AB567" s="15" t="n">
        <f aca="false">PI()*POWER((U567/200),2)</f>
        <v>0</v>
      </c>
    </row>
    <row r="568" customFormat="false" ht="15" hidden="false" customHeight="false" outlineLevel="0" collapsed="false">
      <c r="A568" s="2" t="s">
        <v>20</v>
      </c>
      <c r="B568" s="2" t="n">
        <v>3</v>
      </c>
      <c r="C568" s="64" t="n">
        <v>46265</v>
      </c>
      <c r="D568" s="2" t="n">
        <v>3</v>
      </c>
      <c r="E568" s="2" t="s">
        <v>140</v>
      </c>
      <c r="F568" s="2" t="s">
        <v>32</v>
      </c>
      <c r="G568" s="2" t="s">
        <v>31</v>
      </c>
      <c r="H568" s="2" t="s">
        <v>34</v>
      </c>
      <c r="I568" s="2" t="s">
        <v>25</v>
      </c>
      <c r="J568" s="2" t="n">
        <v>21</v>
      </c>
      <c r="K568" s="32" t="s">
        <v>105</v>
      </c>
      <c r="L568" s="15" t="n">
        <f aca="false">SUM(V568:AB568)</f>
        <v>0.0213824649984955</v>
      </c>
      <c r="M568" s="63" t="n">
        <f aca="false">MAX(O568:U568)</f>
        <v>16.5</v>
      </c>
      <c r="N568" s="15" t="n">
        <f aca="false">COUNTIF(M568,"&gt;9.9")</f>
        <v>1</v>
      </c>
      <c r="O568" s="2" t="n">
        <v>16.5</v>
      </c>
      <c r="V568" s="15" t="n">
        <f aca="false">PI()*POWER((O568/200),2)</f>
        <v>0.0213824649984955</v>
      </c>
      <c r="W568" s="15" t="n">
        <f aca="false">PI()*POWER((P568/200),2)</f>
        <v>0</v>
      </c>
      <c r="X568" s="15" t="n">
        <f aca="false">PI()*POWER((Q568/200),2)</f>
        <v>0</v>
      </c>
      <c r="Y568" s="15" t="n">
        <f aca="false">PI()*POWER((R568/200),2)</f>
        <v>0</v>
      </c>
      <c r="Z568" s="15" t="n">
        <f aca="false">PI()*POWER((S568/200),2)</f>
        <v>0</v>
      </c>
      <c r="AA568" s="15" t="n">
        <f aca="false">PI()*POWER((T568/200),2)</f>
        <v>0</v>
      </c>
      <c r="AB568" s="15" t="n">
        <f aca="false">PI()*POWER((U568/200),2)</f>
        <v>0</v>
      </c>
    </row>
    <row r="569" customFormat="false" ht="15" hidden="false" customHeight="false" outlineLevel="0" collapsed="false">
      <c r="A569" s="2" t="s">
        <v>20</v>
      </c>
      <c r="B569" s="2" t="n">
        <v>3</v>
      </c>
      <c r="C569" s="64" t="n">
        <v>46265</v>
      </c>
      <c r="D569" s="2" t="n">
        <v>3</v>
      </c>
      <c r="E569" s="2" t="s">
        <v>140</v>
      </c>
      <c r="F569" s="2" t="s">
        <v>32</v>
      </c>
      <c r="G569" s="2" t="s">
        <v>31</v>
      </c>
      <c r="H569" s="2" t="s">
        <v>34</v>
      </c>
      <c r="I569" s="2" t="s">
        <v>25</v>
      </c>
      <c r="J569" s="2" t="n">
        <v>24</v>
      </c>
      <c r="K569" s="32" t="s">
        <v>105</v>
      </c>
      <c r="L569" s="15" t="n">
        <f aca="false">SUM(V569:AB569)</f>
        <v>0.0237787147950211</v>
      </c>
      <c r="M569" s="63" t="n">
        <f aca="false">MAX(O569:U569)</f>
        <v>17.4</v>
      </c>
      <c r="N569" s="15" t="n">
        <f aca="false">COUNTIF(M569,"&gt;9.9")</f>
        <v>1</v>
      </c>
      <c r="O569" s="2" t="n">
        <v>17.4</v>
      </c>
      <c r="V569" s="15" t="n">
        <f aca="false">PI()*POWER((O569/200),2)</f>
        <v>0.0237787147950211</v>
      </c>
      <c r="W569" s="15" t="n">
        <f aca="false">PI()*POWER((P569/200),2)</f>
        <v>0</v>
      </c>
      <c r="X569" s="15" t="n">
        <f aca="false">PI()*POWER((Q569/200),2)</f>
        <v>0</v>
      </c>
      <c r="Y569" s="15" t="n">
        <f aca="false">PI()*POWER((R569/200),2)</f>
        <v>0</v>
      </c>
      <c r="Z569" s="15" t="n">
        <f aca="false">PI()*POWER((S569/200),2)</f>
        <v>0</v>
      </c>
      <c r="AA569" s="15" t="n">
        <f aca="false">PI()*POWER((T569/200),2)</f>
        <v>0</v>
      </c>
      <c r="AB569" s="15" t="n">
        <f aca="false">PI()*POWER((U569/200),2)</f>
        <v>0</v>
      </c>
    </row>
    <row r="570" customFormat="false" ht="15" hidden="false" customHeight="false" outlineLevel="0" collapsed="false">
      <c r="A570" s="2" t="s">
        <v>20</v>
      </c>
      <c r="B570" s="2" t="n">
        <v>3</v>
      </c>
      <c r="C570" s="64" t="n">
        <v>46265</v>
      </c>
      <c r="D570" s="2" t="n">
        <v>3</v>
      </c>
      <c r="E570" s="2" t="s">
        <v>31</v>
      </c>
      <c r="F570" s="2" t="s">
        <v>34</v>
      </c>
      <c r="G570" s="2" t="s">
        <v>140</v>
      </c>
      <c r="H570" s="2" t="s">
        <v>32</v>
      </c>
      <c r="I570" s="2" t="s">
        <v>25</v>
      </c>
      <c r="J570" s="2" t="n">
        <v>57</v>
      </c>
      <c r="K570" s="32" t="s">
        <v>105</v>
      </c>
      <c r="L570" s="15" t="n">
        <f aca="false">SUM(V570:AB570)</f>
        <v>0.0243284935093994</v>
      </c>
      <c r="M570" s="63" t="n">
        <f aca="false">MAX(O570:U570)</f>
        <v>17.6</v>
      </c>
      <c r="N570" s="15" t="n">
        <f aca="false">COUNTIF(M570,"&gt;9.9")</f>
        <v>1</v>
      </c>
      <c r="O570" s="2" t="n">
        <v>17.6</v>
      </c>
      <c r="V570" s="15" t="n">
        <f aca="false">PI()*POWER((O570/200),2)</f>
        <v>0.0243284935093994</v>
      </c>
      <c r="W570" s="15" t="n">
        <f aca="false">PI()*POWER((P570/200),2)</f>
        <v>0</v>
      </c>
      <c r="X570" s="15" t="n">
        <f aca="false">PI()*POWER((Q570/200),2)</f>
        <v>0</v>
      </c>
      <c r="Y570" s="15" t="n">
        <f aca="false">PI()*POWER((R570/200),2)</f>
        <v>0</v>
      </c>
      <c r="Z570" s="15" t="n">
        <f aca="false">PI()*POWER((S570/200),2)</f>
        <v>0</v>
      </c>
      <c r="AA570" s="15" t="n">
        <f aca="false">PI()*POWER((T570/200),2)</f>
        <v>0</v>
      </c>
      <c r="AB570" s="15" t="n">
        <f aca="false">PI()*POWER((U570/200),2)</f>
        <v>0</v>
      </c>
    </row>
    <row r="571" customFormat="false" ht="15" hidden="false" customHeight="false" outlineLevel="0" collapsed="false">
      <c r="A571" s="2" t="s">
        <v>20</v>
      </c>
      <c r="B571" s="2" t="n">
        <v>3</v>
      </c>
      <c r="C571" s="64" t="n">
        <v>46265</v>
      </c>
      <c r="D571" s="2" t="n">
        <v>3</v>
      </c>
      <c r="E571" s="2" t="s">
        <v>140</v>
      </c>
      <c r="F571" s="2" t="s">
        <v>32</v>
      </c>
      <c r="G571" s="2" t="s">
        <v>31</v>
      </c>
      <c r="H571" s="2" t="s">
        <v>34</v>
      </c>
      <c r="I571" s="2" t="s">
        <v>25</v>
      </c>
      <c r="J571" s="2" t="n">
        <v>29</v>
      </c>
      <c r="K571" s="32" t="s">
        <v>105</v>
      </c>
      <c r="L571" s="15" t="n">
        <f aca="false">SUM(V571:AB571)</f>
        <v>0.0254469004940773</v>
      </c>
      <c r="M571" s="63" t="n">
        <f aca="false">MAX(O571:U571)</f>
        <v>18</v>
      </c>
      <c r="N571" s="15" t="n">
        <f aca="false">COUNTIF(M571,"&gt;9.9")</f>
        <v>1</v>
      </c>
      <c r="O571" s="2" t="n">
        <v>18</v>
      </c>
      <c r="V571" s="15" t="n">
        <f aca="false">PI()*POWER((O571/200),2)</f>
        <v>0.0254469004940773</v>
      </c>
      <c r="W571" s="15" t="n">
        <f aca="false">PI()*POWER((P571/200),2)</f>
        <v>0</v>
      </c>
      <c r="X571" s="15" t="n">
        <f aca="false">PI()*POWER((Q571/200),2)</f>
        <v>0</v>
      </c>
      <c r="Y571" s="15" t="n">
        <f aca="false">PI()*POWER((R571/200),2)</f>
        <v>0</v>
      </c>
      <c r="Z571" s="15" t="n">
        <f aca="false">PI()*POWER((S571/200),2)</f>
        <v>0</v>
      </c>
      <c r="AA571" s="15" t="n">
        <f aca="false">PI()*POWER((T571/200),2)</f>
        <v>0</v>
      </c>
      <c r="AB571" s="15" t="n">
        <f aca="false">PI()*POWER((U571/200),2)</f>
        <v>0</v>
      </c>
    </row>
    <row r="572" customFormat="false" ht="15" hidden="false" customHeight="false" outlineLevel="0" collapsed="false">
      <c r="A572" s="2" t="s">
        <v>20</v>
      </c>
      <c r="B572" s="2" t="n">
        <v>3</v>
      </c>
      <c r="C572" s="64" t="n">
        <v>46265</v>
      </c>
      <c r="D572" s="2" t="n">
        <v>3</v>
      </c>
      <c r="E572" s="2" t="s">
        <v>140</v>
      </c>
      <c r="F572" s="2" t="s">
        <v>32</v>
      </c>
      <c r="G572" s="2" t="s">
        <v>31</v>
      </c>
      <c r="H572" s="2" t="s">
        <v>34</v>
      </c>
      <c r="I572" s="2" t="s">
        <v>25</v>
      </c>
      <c r="J572" s="2" t="n">
        <v>20</v>
      </c>
      <c r="K572" s="32" t="s">
        <v>105</v>
      </c>
      <c r="L572" s="15" t="n">
        <f aca="false">SUM(V572:AB572)</f>
        <v>0.0441150294398713</v>
      </c>
      <c r="M572" s="63" t="n">
        <f aca="false">MAX(O572:U572)</f>
        <v>23.7</v>
      </c>
      <c r="N572" s="15" t="n">
        <f aca="false">COUNTIF(M572,"&gt;9.9")</f>
        <v>1</v>
      </c>
      <c r="O572" s="2" t="n">
        <v>23.7</v>
      </c>
      <c r="V572" s="15" t="n">
        <f aca="false">PI()*POWER((O572/200),2)</f>
        <v>0.0441150294398713</v>
      </c>
      <c r="W572" s="15" t="n">
        <f aca="false">PI()*POWER((P572/200),2)</f>
        <v>0</v>
      </c>
      <c r="X572" s="15" t="n">
        <f aca="false">PI()*POWER((Q572/200),2)</f>
        <v>0</v>
      </c>
      <c r="Y572" s="15" t="n">
        <f aca="false">PI()*POWER((R572/200),2)</f>
        <v>0</v>
      </c>
      <c r="Z572" s="15" t="n">
        <f aca="false">PI()*POWER((S572/200),2)</f>
        <v>0</v>
      </c>
      <c r="AA572" s="15" t="n">
        <f aca="false">PI()*POWER((T572/200),2)</f>
        <v>0</v>
      </c>
      <c r="AB572" s="15" t="n">
        <f aca="false">PI()*POWER((U572/200),2)</f>
        <v>0</v>
      </c>
    </row>
    <row r="573" customFormat="false" ht="15" hidden="false" customHeight="false" outlineLevel="0" collapsed="false">
      <c r="A573" s="2" t="s">
        <v>20</v>
      </c>
      <c r="B573" s="2" t="n">
        <v>3</v>
      </c>
      <c r="C573" s="64" t="n">
        <v>46265</v>
      </c>
      <c r="D573" s="2" t="n">
        <v>3</v>
      </c>
      <c r="E573" s="2" t="s">
        <v>140</v>
      </c>
      <c r="F573" s="2" t="s">
        <v>32</v>
      </c>
      <c r="G573" s="2" t="s">
        <v>31</v>
      </c>
      <c r="H573" s="2" t="s">
        <v>34</v>
      </c>
      <c r="I573" s="2" t="s">
        <v>25</v>
      </c>
      <c r="J573" s="2" t="n">
        <v>12</v>
      </c>
      <c r="K573" s="32" t="s">
        <v>160</v>
      </c>
      <c r="L573" s="15" t="n">
        <f aca="false">SUM(V573:AB573)</f>
        <v>0.000615752160103599</v>
      </c>
      <c r="M573" s="63" t="n">
        <f aca="false">MAX(O573:U573)</f>
        <v>2.8</v>
      </c>
      <c r="N573" s="15" t="n">
        <f aca="false">COUNTIF(M573,"&gt;9.9")</f>
        <v>0</v>
      </c>
      <c r="O573" s="2" t="n">
        <v>2.8</v>
      </c>
      <c r="V573" s="15" t="n">
        <f aca="false">PI()*POWER((O573/200),2)</f>
        <v>0.000615752160103599</v>
      </c>
      <c r="W573" s="15" t="n">
        <f aca="false">PI()*POWER((P573/200),2)</f>
        <v>0</v>
      </c>
      <c r="X573" s="15" t="n">
        <f aca="false">PI()*POWER((Q573/200),2)</f>
        <v>0</v>
      </c>
      <c r="Y573" s="15" t="n">
        <f aca="false">PI()*POWER((R573/200),2)</f>
        <v>0</v>
      </c>
      <c r="Z573" s="15" t="n">
        <f aca="false">PI()*POWER((S573/200),2)</f>
        <v>0</v>
      </c>
      <c r="AA573" s="15" t="n">
        <f aca="false">PI()*POWER((T573/200),2)</f>
        <v>0</v>
      </c>
      <c r="AB573" s="15" t="n">
        <f aca="false">PI()*POWER((U573/200),2)</f>
        <v>0</v>
      </c>
    </row>
    <row r="574" customFormat="false" ht="15" hidden="false" customHeight="false" outlineLevel="0" collapsed="false">
      <c r="A574" s="2" t="s">
        <v>20</v>
      </c>
      <c r="B574" s="2" t="n">
        <v>3</v>
      </c>
      <c r="C574" s="64" t="n">
        <v>46265</v>
      </c>
      <c r="D574" s="2" t="n">
        <v>3</v>
      </c>
      <c r="E574" s="2" t="s">
        <v>31</v>
      </c>
      <c r="F574" s="2" t="s">
        <v>34</v>
      </c>
      <c r="G574" s="2" t="s">
        <v>140</v>
      </c>
      <c r="H574" s="2" t="s">
        <v>32</v>
      </c>
      <c r="I574" s="2" t="s">
        <v>25</v>
      </c>
      <c r="J574" s="2" t="n">
        <v>47</v>
      </c>
      <c r="K574" s="32" t="s">
        <v>160</v>
      </c>
      <c r="L574" s="15" t="n">
        <f aca="false">SUM(V574:AB574)</f>
        <v>0.000962112750161874</v>
      </c>
      <c r="M574" s="63" t="n">
        <f aca="false">MAX(O574:U574)</f>
        <v>3.5</v>
      </c>
      <c r="N574" s="15" t="n">
        <f aca="false">COUNTIF(M574,"&gt;9.9")</f>
        <v>0</v>
      </c>
      <c r="O574" s="2" t="n">
        <v>3.5</v>
      </c>
      <c r="V574" s="15" t="n">
        <f aca="false">PI()*POWER((O574/200),2)</f>
        <v>0.000962112750161874</v>
      </c>
      <c r="W574" s="15" t="n">
        <f aca="false">PI()*POWER((P574/200),2)</f>
        <v>0</v>
      </c>
      <c r="X574" s="15" t="n">
        <f aca="false">PI()*POWER((Q574/200),2)</f>
        <v>0</v>
      </c>
      <c r="Y574" s="15" t="n">
        <f aca="false">PI()*POWER((R574/200),2)</f>
        <v>0</v>
      </c>
      <c r="Z574" s="15" t="n">
        <f aca="false">PI()*POWER((S574/200),2)</f>
        <v>0</v>
      </c>
      <c r="AA574" s="15" t="n">
        <f aca="false">PI()*POWER((T574/200),2)</f>
        <v>0</v>
      </c>
      <c r="AB574" s="15" t="n">
        <f aca="false">PI()*POWER((U574/200),2)</f>
        <v>0</v>
      </c>
    </row>
    <row r="575" customFormat="false" ht="15" hidden="false" customHeight="false" outlineLevel="0" collapsed="false">
      <c r="A575" s="2" t="s">
        <v>20</v>
      </c>
      <c r="B575" s="2" t="n">
        <v>3</v>
      </c>
      <c r="C575" s="64" t="n">
        <v>46265</v>
      </c>
      <c r="D575" s="2" t="n">
        <v>3</v>
      </c>
      <c r="E575" s="2" t="s">
        <v>140</v>
      </c>
      <c r="F575" s="2" t="s">
        <v>32</v>
      </c>
      <c r="G575" s="2" t="s">
        <v>31</v>
      </c>
      <c r="H575" s="2" t="s">
        <v>34</v>
      </c>
      <c r="I575" s="2" t="s">
        <v>25</v>
      </c>
      <c r="J575" s="2" t="n">
        <v>5</v>
      </c>
      <c r="K575" s="32" t="s">
        <v>160</v>
      </c>
      <c r="L575" s="15" t="n">
        <f aca="false">SUM(V575:AB575)</f>
        <v>0.00264207942166902</v>
      </c>
      <c r="M575" s="63" t="n">
        <f aca="false">MAX(O575:U575)</f>
        <v>5.8</v>
      </c>
      <c r="N575" s="15" t="n">
        <f aca="false">COUNTIF(M575,"&gt;9.9")</f>
        <v>0</v>
      </c>
      <c r="O575" s="2" t="n">
        <v>5.8</v>
      </c>
      <c r="V575" s="15" t="n">
        <f aca="false">PI()*POWER((O575/200),2)</f>
        <v>0.00264207942166902</v>
      </c>
      <c r="W575" s="15" t="n">
        <f aca="false">PI()*POWER((P575/200),2)</f>
        <v>0</v>
      </c>
      <c r="X575" s="15" t="n">
        <f aca="false">PI()*POWER((Q575/200),2)</f>
        <v>0</v>
      </c>
      <c r="Y575" s="15" t="n">
        <f aca="false">PI()*POWER((R575/200),2)</f>
        <v>0</v>
      </c>
      <c r="Z575" s="15" t="n">
        <f aca="false">PI()*POWER((S575/200),2)</f>
        <v>0</v>
      </c>
      <c r="AA575" s="15" t="n">
        <f aca="false">PI()*POWER((T575/200),2)</f>
        <v>0</v>
      </c>
      <c r="AB575" s="15" t="n">
        <f aca="false">PI()*POWER((U575/200),2)</f>
        <v>0</v>
      </c>
    </row>
    <row r="576" customFormat="false" ht="15" hidden="false" customHeight="false" outlineLevel="0" collapsed="false">
      <c r="A576" s="2" t="s">
        <v>20</v>
      </c>
      <c r="B576" s="2" t="n">
        <v>3</v>
      </c>
      <c r="C576" s="64" t="n">
        <v>46265</v>
      </c>
      <c r="D576" s="2" t="n">
        <v>3</v>
      </c>
      <c r="E576" s="2" t="s">
        <v>140</v>
      </c>
      <c r="F576" s="2" t="s">
        <v>32</v>
      </c>
      <c r="G576" s="2" t="s">
        <v>31</v>
      </c>
      <c r="H576" s="2" t="s">
        <v>34</v>
      </c>
      <c r="I576" s="2" t="s">
        <v>25</v>
      </c>
      <c r="J576" s="2" t="n">
        <v>7</v>
      </c>
      <c r="K576" s="32" t="s">
        <v>160</v>
      </c>
      <c r="L576" s="15" t="n">
        <f aca="false">SUM(V576:AB576)</f>
        <v>0.00441786466911065</v>
      </c>
      <c r="M576" s="63" t="n">
        <f aca="false">MAX(O576:U576)</f>
        <v>7.5</v>
      </c>
      <c r="N576" s="15" t="n">
        <f aca="false">COUNTIF(M576,"&gt;9.9")</f>
        <v>0</v>
      </c>
      <c r="O576" s="2" t="n">
        <v>7.5</v>
      </c>
      <c r="V576" s="15" t="n">
        <f aca="false">PI()*POWER((O576/200),2)</f>
        <v>0.00441786466911065</v>
      </c>
      <c r="W576" s="15" t="n">
        <f aca="false">PI()*POWER((P576/200),2)</f>
        <v>0</v>
      </c>
      <c r="X576" s="15" t="n">
        <f aca="false">PI()*POWER((Q576/200),2)</f>
        <v>0</v>
      </c>
      <c r="Y576" s="15" t="n">
        <f aca="false">PI()*POWER((R576/200),2)</f>
        <v>0</v>
      </c>
      <c r="Z576" s="15" t="n">
        <f aca="false">PI()*POWER((S576/200),2)</f>
        <v>0</v>
      </c>
      <c r="AA576" s="15" t="n">
        <f aca="false">PI()*POWER((T576/200),2)</f>
        <v>0</v>
      </c>
      <c r="AB576" s="15" t="n">
        <f aca="false">PI()*POWER((U576/200),2)</f>
        <v>0</v>
      </c>
    </row>
    <row r="577" customFormat="false" ht="15" hidden="false" customHeight="false" outlineLevel="0" collapsed="false">
      <c r="A577" s="2" t="s">
        <v>20</v>
      </c>
      <c r="B577" s="2" t="n">
        <v>3</v>
      </c>
      <c r="C577" s="64" t="n">
        <v>46265</v>
      </c>
      <c r="D577" s="2" t="n">
        <v>3</v>
      </c>
      <c r="E577" s="2" t="s">
        <v>140</v>
      </c>
      <c r="F577" s="2" t="s">
        <v>32</v>
      </c>
      <c r="G577" s="2" t="s">
        <v>31</v>
      </c>
      <c r="H577" s="2" t="s">
        <v>34</v>
      </c>
      <c r="I577" s="2" t="s">
        <v>25</v>
      </c>
      <c r="J577" s="2" t="n">
        <v>2</v>
      </c>
      <c r="K577" s="32" t="s">
        <v>160</v>
      </c>
      <c r="L577" s="15" t="n">
        <f aca="false">SUM(V577:AB577)</f>
        <v>0.00477836242611008</v>
      </c>
      <c r="M577" s="63" t="n">
        <f aca="false">MAX(O577:U577)</f>
        <v>7.8</v>
      </c>
      <c r="N577" s="15" t="n">
        <f aca="false">COUNTIF(M577,"&gt;9.9")</f>
        <v>0</v>
      </c>
      <c r="O577" s="2" t="n">
        <v>7.8</v>
      </c>
      <c r="V577" s="15" t="n">
        <f aca="false">PI()*POWER((O577/200),2)</f>
        <v>0.00477836242611008</v>
      </c>
      <c r="W577" s="15" t="n">
        <f aca="false">PI()*POWER((P577/200),2)</f>
        <v>0</v>
      </c>
      <c r="X577" s="15" t="n">
        <f aca="false">PI()*POWER((Q577/200),2)</f>
        <v>0</v>
      </c>
      <c r="Y577" s="15" t="n">
        <f aca="false">PI()*POWER((R577/200),2)</f>
        <v>0</v>
      </c>
      <c r="Z577" s="15" t="n">
        <f aca="false">PI()*POWER((S577/200),2)</f>
        <v>0</v>
      </c>
      <c r="AA577" s="15" t="n">
        <f aca="false">PI()*POWER((T577/200),2)</f>
        <v>0</v>
      </c>
      <c r="AB577" s="15" t="n">
        <f aca="false">PI()*POWER((U577/200),2)</f>
        <v>0</v>
      </c>
    </row>
    <row r="578" customFormat="false" ht="15" hidden="false" customHeight="false" outlineLevel="0" collapsed="false">
      <c r="A578" s="2" t="s">
        <v>20</v>
      </c>
      <c r="B578" s="2" t="n">
        <v>3</v>
      </c>
      <c r="C578" s="64" t="n">
        <v>46265</v>
      </c>
      <c r="D578" s="2" t="n">
        <v>3</v>
      </c>
      <c r="E578" s="2" t="s">
        <v>140</v>
      </c>
      <c r="F578" s="2" t="s">
        <v>32</v>
      </c>
      <c r="G578" s="2" t="s">
        <v>31</v>
      </c>
      <c r="H578" s="2" t="s">
        <v>34</v>
      </c>
      <c r="I578" s="2" t="s">
        <v>25</v>
      </c>
      <c r="J578" s="2" t="n">
        <v>11</v>
      </c>
      <c r="K578" s="32" t="s">
        <v>160</v>
      </c>
      <c r="L578" s="15" t="n">
        <f aca="false">SUM(V578:AB578)</f>
        <v>0.00865901475145687</v>
      </c>
      <c r="M578" s="63" t="n">
        <f aca="false">MAX(O578:U578)</f>
        <v>10.5</v>
      </c>
      <c r="N578" s="15" t="n">
        <f aca="false">COUNTIF(M578,"&gt;9.9")</f>
        <v>1</v>
      </c>
      <c r="O578" s="2" t="n">
        <v>10.5</v>
      </c>
      <c r="V578" s="15" t="n">
        <f aca="false">PI()*POWER((O578/200),2)</f>
        <v>0.00865901475145687</v>
      </c>
      <c r="W578" s="15" t="n">
        <f aca="false">PI()*POWER((P578/200),2)</f>
        <v>0</v>
      </c>
      <c r="X578" s="15" t="n">
        <f aca="false">PI()*POWER((Q578/200),2)</f>
        <v>0</v>
      </c>
      <c r="Y578" s="15" t="n">
        <f aca="false">PI()*POWER((R578/200),2)</f>
        <v>0</v>
      </c>
      <c r="Z578" s="15" t="n">
        <f aca="false">PI()*POWER((S578/200),2)</f>
        <v>0</v>
      </c>
      <c r="AA578" s="15" t="n">
        <f aca="false">PI()*POWER((T578/200),2)</f>
        <v>0</v>
      </c>
      <c r="AB578" s="15" t="n">
        <f aca="false">PI()*POWER((U578/200),2)</f>
        <v>0</v>
      </c>
    </row>
    <row r="579" customFormat="false" ht="15" hidden="false" customHeight="false" outlineLevel="0" collapsed="false">
      <c r="A579" s="2" t="s">
        <v>20</v>
      </c>
      <c r="B579" s="2" t="n">
        <v>3</v>
      </c>
      <c r="C579" s="64" t="n">
        <v>46265</v>
      </c>
      <c r="D579" s="2" t="n">
        <v>3</v>
      </c>
      <c r="E579" s="2" t="s">
        <v>31</v>
      </c>
      <c r="F579" s="2" t="s">
        <v>34</v>
      </c>
      <c r="G579" s="2" t="s">
        <v>140</v>
      </c>
      <c r="H579" s="2" t="s">
        <v>32</v>
      </c>
      <c r="I579" s="2" t="s">
        <v>25</v>
      </c>
      <c r="J579" s="2" t="n">
        <v>41</v>
      </c>
      <c r="K579" s="32" t="s">
        <v>160</v>
      </c>
      <c r="L579" s="15" t="n">
        <f aca="false">SUM(V579:AB579)</f>
        <v>0.0211240690027378</v>
      </c>
      <c r="M579" s="63" t="n">
        <f aca="false">MAX(O579:U579)</f>
        <v>16.4</v>
      </c>
      <c r="N579" s="15" t="n">
        <f aca="false">COUNTIF(M579,"&gt;9.9")</f>
        <v>1</v>
      </c>
      <c r="O579" s="2" t="n">
        <v>16.4</v>
      </c>
      <c r="V579" s="15" t="n">
        <f aca="false">PI()*POWER((O579/200),2)</f>
        <v>0.0211240690027378</v>
      </c>
      <c r="W579" s="15" t="n">
        <f aca="false">PI()*POWER((P579/200),2)</f>
        <v>0</v>
      </c>
      <c r="X579" s="15" t="n">
        <f aca="false">PI()*POWER((Q579/200),2)</f>
        <v>0</v>
      </c>
      <c r="Y579" s="15" t="n">
        <f aca="false">PI()*POWER((R579/200),2)</f>
        <v>0</v>
      </c>
      <c r="Z579" s="15" t="n">
        <f aca="false">PI()*POWER((S579/200),2)</f>
        <v>0</v>
      </c>
      <c r="AA579" s="15" t="n">
        <f aca="false">PI()*POWER((T579/200),2)</f>
        <v>0</v>
      </c>
      <c r="AB579" s="15" t="n">
        <f aca="false">PI()*POWER((U579/200),2)</f>
        <v>0</v>
      </c>
    </row>
    <row r="580" customFormat="false" ht="15" hidden="false" customHeight="false" outlineLevel="0" collapsed="false">
      <c r="A580" s="2" t="s">
        <v>20</v>
      </c>
      <c r="B580" s="2" t="n">
        <v>3</v>
      </c>
      <c r="C580" s="64" t="n">
        <v>46265</v>
      </c>
      <c r="D580" s="2" t="n">
        <v>3</v>
      </c>
      <c r="E580" s="2" t="s">
        <v>140</v>
      </c>
      <c r="F580" s="2" t="s">
        <v>32</v>
      </c>
      <c r="G580" s="2" t="s">
        <v>31</v>
      </c>
      <c r="H580" s="2" t="s">
        <v>34</v>
      </c>
      <c r="I580" s="2" t="s">
        <v>25</v>
      </c>
      <c r="J580" s="2" t="n">
        <v>14</v>
      </c>
      <c r="K580" s="32" t="s">
        <v>160</v>
      </c>
      <c r="L580" s="15" t="n">
        <f aca="false">SUM(V580:AB580)</f>
        <v>0.0251649425534176</v>
      </c>
      <c r="M580" s="63" t="n">
        <f aca="false">MAX(O580:U580)</f>
        <v>17.9</v>
      </c>
      <c r="N580" s="15" t="n">
        <f aca="false">COUNTIF(M580,"&gt;9.9")</f>
        <v>1</v>
      </c>
      <c r="O580" s="2" t="n">
        <v>17.9</v>
      </c>
      <c r="V580" s="15" t="n">
        <f aca="false">PI()*POWER((O580/200),2)</f>
        <v>0.0251649425534176</v>
      </c>
      <c r="W580" s="15" t="n">
        <f aca="false">PI()*POWER((P580/200),2)</f>
        <v>0</v>
      </c>
      <c r="X580" s="15" t="n">
        <f aca="false">PI()*POWER((Q580/200),2)</f>
        <v>0</v>
      </c>
      <c r="Y580" s="15" t="n">
        <f aca="false">PI()*POWER((R580/200),2)</f>
        <v>0</v>
      </c>
      <c r="Z580" s="15" t="n">
        <f aca="false">PI()*POWER((S580/200),2)</f>
        <v>0</v>
      </c>
      <c r="AA580" s="15" t="n">
        <f aca="false">PI()*POWER((T580/200),2)</f>
        <v>0</v>
      </c>
      <c r="AB580" s="15" t="n">
        <f aca="false">PI()*POWER((U580/200),2)</f>
        <v>0</v>
      </c>
    </row>
    <row r="581" customFormat="false" ht="15" hidden="false" customHeight="false" outlineLevel="0" collapsed="false">
      <c r="A581" s="2" t="s">
        <v>20</v>
      </c>
      <c r="B581" s="2" t="n">
        <v>3</v>
      </c>
      <c r="C581" s="64" t="n">
        <v>46265</v>
      </c>
      <c r="D581" s="2" t="n">
        <v>3</v>
      </c>
      <c r="E581" s="2" t="s">
        <v>31</v>
      </c>
      <c r="F581" s="2" t="s">
        <v>34</v>
      </c>
      <c r="G581" s="2" t="s">
        <v>140</v>
      </c>
      <c r="H581" s="2" t="s">
        <v>32</v>
      </c>
      <c r="I581" s="2" t="s">
        <v>25</v>
      </c>
      <c r="J581" s="2" t="n">
        <v>39</v>
      </c>
      <c r="K581" s="32" t="s">
        <v>160</v>
      </c>
      <c r="L581" s="15" t="n">
        <f aca="false">SUM(V581:AB581)</f>
        <v>0.0326851299679482</v>
      </c>
      <c r="M581" s="63" t="n">
        <f aca="false">MAX(O581:U581)</f>
        <v>20.4</v>
      </c>
      <c r="N581" s="15" t="n">
        <f aca="false">COUNTIF(M581,"&gt;9.9")</f>
        <v>1</v>
      </c>
      <c r="O581" s="2" t="n">
        <v>20.4</v>
      </c>
      <c r="V581" s="15" t="n">
        <f aca="false">PI()*POWER((O581/200),2)</f>
        <v>0.0326851299679482</v>
      </c>
      <c r="W581" s="15" t="n">
        <f aca="false">PI()*POWER((P581/200),2)</f>
        <v>0</v>
      </c>
      <c r="X581" s="15" t="n">
        <f aca="false">PI()*POWER((Q581/200),2)</f>
        <v>0</v>
      </c>
      <c r="Y581" s="15" t="n">
        <f aca="false">PI()*POWER((R581/200),2)</f>
        <v>0</v>
      </c>
      <c r="Z581" s="15" t="n">
        <f aca="false">PI()*POWER((S581/200),2)</f>
        <v>0</v>
      </c>
      <c r="AA581" s="15" t="n">
        <f aca="false">PI()*POWER((T581/200),2)</f>
        <v>0</v>
      </c>
      <c r="AB581" s="15" t="n">
        <f aca="false">PI()*POWER((U581/200),2)</f>
        <v>0</v>
      </c>
    </row>
    <row r="582" customFormat="false" ht="15" hidden="false" customHeight="false" outlineLevel="0" collapsed="false">
      <c r="A582" s="2" t="s">
        <v>20</v>
      </c>
      <c r="B582" s="2" t="n">
        <v>3</v>
      </c>
      <c r="C582" s="64" t="n">
        <v>46265</v>
      </c>
      <c r="D582" s="2" t="n">
        <v>3</v>
      </c>
      <c r="E582" s="2" t="s">
        <v>31</v>
      </c>
      <c r="F582" s="2" t="s">
        <v>34</v>
      </c>
      <c r="G582" s="2" t="s">
        <v>140</v>
      </c>
      <c r="H582" s="2" t="s">
        <v>32</v>
      </c>
      <c r="I582" s="2" t="s">
        <v>25</v>
      </c>
      <c r="J582" s="2" t="n">
        <v>32</v>
      </c>
      <c r="K582" s="32" t="s">
        <v>109</v>
      </c>
      <c r="L582" s="15" t="n">
        <f aca="false">SUM(V582:AB582)</f>
        <v>0.00515299735005066</v>
      </c>
      <c r="M582" s="63" t="n">
        <f aca="false">MAX(O582:U582)</f>
        <v>8.1</v>
      </c>
      <c r="N582" s="15" t="n">
        <f aca="false">COUNTIF(M582,"&gt;9.9")</f>
        <v>0</v>
      </c>
      <c r="O582" s="2" t="n">
        <v>8.1</v>
      </c>
      <c r="V582" s="15" t="n">
        <f aca="false">PI()*POWER((O582/200),2)</f>
        <v>0.00515299735005066</v>
      </c>
      <c r="W582" s="15" t="n">
        <f aca="false">PI()*POWER((P582/200),2)</f>
        <v>0</v>
      </c>
      <c r="X582" s="15" t="n">
        <f aca="false">PI()*POWER((Q582/200),2)</f>
        <v>0</v>
      </c>
      <c r="Y582" s="15" t="n">
        <f aca="false">PI()*POWER((R582/200),2)</f>
        <v>0</v>
      </c>
      <c r="Z582" s="15" t="n">
        <f aca="false">PI()*POWER((S582/200),2)</f>
        <v>0</v>
      </c>
      <c r="AA582" s="15" t="n">
        <f aca="false">PI()*POWER((T582/200),2)</f>
        <v>0</v>
      </c>
      <c r="AB582" s="15" t="n">
        <f aca="false">PI()*POWER((U582/200),2)</f>
        <v>0</v>
      </c>
    </row>
    <row r="583" customFormat="false" ht="15" hidden="false" customHeight="false" outlineLevel="0" collapsed="false">
      <c r="A583" s="2" t="s">
        <v>20</v>
      </c>
      <c r="B583" s="2" t="n">
        <v>3</v>
      </c>
      <c r="C583" s="64" t="n">
        <v>46265</v>
      </c>
      <c r="D583" s="2" t="n">
        <v>3</v>
      </c>
      <c r="E583" s="2" t="s">
        <v>140</v>
      </c>
      <c r="F583" s="2" t="s">
        <v>32</v>
      </c>
      <c r="G583" s="2" t="s">
        <v>31</v>
      </c>
      <c r="H583" s="2" t="s">
        <v>34</v>
      </c>
      <c r="I583" s="2" t="s">
        <v>25</v>
      </c>
      <c r="J583" s="2" t="n">
        <v>13</v>
      </c>
      <c r="K583" s="32" t="s">
        <v>109</v>
      </c>
      <c r="L583" s="15" t="n">
        <f aca="false">SUM(V583:AB583)</f>
        <v>0.0169842352834698</v>
      </c>
      <c r="M583" s="63" t="n">
        <f aca="false">MAX(O583:U583)</f>
        <v>14</v>
      </c>
      <c r="N583" s="15" t="n">
        <f aca="false">COUNTIF(M583,"&gt;9.9")</f>
        <v>1</v>
      </c>
      <c r="O583" s="2" t="n">
        <v>14</v>
      </c>
      <c r="P583" s="2" t="n">
        <v>4.5</v>
      </c>
      <c r="V583" s="15" t="n">
        <f aca="false">PI()*POWER((O583/200),2)</f>
        <v>0.01539380400259</v>
      </c>
      <c r="W583" s="15" t="n">
        <f aca="false">PI()*POWER((P583/200),2)</f>
        <v>0.00159043128087983</v>
      </c>
      <c r="X583" s="15" t="n">
        <f aca="false">PI()*POWER((Q583/200),2)</f>
        <v>0</v>
      </c>
      <c r="Y583" s="15" t="n">
        <f aca="false">PI()*POWER((R583/200),2)</f>
        <v>0</v>
      </c>
      <c r="Z583" s="15" t="n">
        <f aca="false">PI()*POWER((S583/200),2)</f>
        <v>0</v>
      </c>
      <c r="AA583" s="15" t="n">
        <f aca="false">PI()*POWER((T583/200),2)</f>
        <v>0</v>
      </c>
      <c r="AB583" s="15" t="n">
        <f aca="false">PI()*POWER((U583/200),2)</f>
        <v>0</v>
      </c>
    </row>
    <row r="584" customFormat="false" ht="15" hidden="false" customHeight="false" outlineLevel="0" collapsed="false">
      <c r="A584" s="2" t="s">
        <v>20</v>
      </c>
      <c r="B584" s="2" t="n">
        <v>3</v>
      </c>
      <c r="C584" s="64" t="n">
        <v>46265</v>
      </c>
      <c r="D584" s="2" t="n">
        <v>3</v>
      </c>
      <c r="E584" s="2" t="s">
        <v>140</v>
      </c>
      <c r="F584" s="2" t="s">
        <v>32</v>
      </c>
      <c r="G584" s="2" t="s">
        <v>31</v>
      </c>
      <c r="H584" s="2" t="s">
        <v>34</v>
      </c>
      <c r="I584" s="2" t="s">
        <v>25</v>
      </c>
      <c r="J584" s="2" t="n">
        <v>3</v>
      </c>
      <c r="K584" s="32" t="s">
        <v>107</v>
      </c>
      <c r="L584" s="15" t="n">
        <f aca="false">SUM(V584:AB584)</f>
        <v>0.000113097335529233</v>
      </c>
      <c r="M584" s="63" t="n">
        <f aca="false">MAX(O584:U584)</f>
        <v>1.2</v>
      </c>
      <c r="N584" s="15" t="n">
        <f aca="false">COUNTIF(M584,"&gt;9.9")</f>
        <v>0</v>
      </c>
      <c r="O584" s="2" t="n">
        <v>1.2</v>
      </c>
      <c r="V584" s="15" t="n">
        <f aca="false">PI()*POWER((O584/200),2)</f>
        <v>0.000113097335529233</v>
      </c>
      <c r="W584" s="15" t="n">
        <f aca="false">PI()*POWER((P584/200),2)</f>
        <v>0</v>
      </c>
      <c r="X584" s="15" t="n">
        <f aca="false">PI()*POWER((Q584/200),2)</f>
        <v>0</v>
      </c>
      <c r="Y584" s="15" t="n">
        <f aca="false">PI()*POWER((R584/200),2)</f>
        <v>0</v>
      </c>
      <c r="Z584" s="15" t="n">
        <f aca="false">PI()*POWER((S584/200),2)</f>
        <v>0</v>
      </c>
      <c r="AA584" s="15" t="n">
        <f aca="false">PI()*POWER((T584/200),2)</f>
        <v>0</v>
      </c>
      <c r="AB584" s="15" t="n">
        <f aca="false">PI()*POWER((U584/200),2)</f>
        <v>0</v>
      </c>
    </row>
    <row r="585" customFormat="false" ht="15" hidden="false" customHeight="false" outlineLevel="0" collapsed="false">
      <c r="A585" s="2" t="s">
        <v>20</v>
      </c>
      <c r="B585" s="2" t="n">
        <v>3</v>
      </c>
      <c r="C585" s="64" t="n">
        <v>46265</v>
      </c>
      <c r="D585" s="2" t="n">
        <v>3</v>
      </c>
      <c r="E585" s="2" t="s">
        <v>140</v>
      </c>
      <c r="F585" s="2" t="s">
        <v>32</v>
      </c>
      <c r="G585" s="2" t="s">
        <v>31</v>
      </c>
      <c r="H585" s="2" t="s">
        <v>34</v>
      </c>
      <c r="I585" s="2" t="s">
        <v>25</v>
      </c>
      <c r="J585" s="2" t="n">
        <v>27</v>
      </c>
      <c r="K585" s="32" t="s">
        <v>107</v>
      </c>
      <c r="L585" s="15" t="n">
        <f aca="false">SUM(V585:AB585)</f>
        <v>0.000226980069221863</v>
      </c>
      <c r="M585" s="63" t="n">
        <f aca="false">MAX(O585:U585)</f>
        <v>1.7</v>
      </c>
      <c r="N585" s="15" t="n">
        <f aca="false">COUNTIF(M585,"&gt;9.9")</f>
        <v>0</v>
      </c>
      <c r="O585" s="2" t="n">
        <v>1.7</v>
      </c>
      <c r="V585" s="15" t="n">
        <f aca="false">PI()*POWER((O585/200),2)</f>
        <v>0.000226980069221863</v>
      </c>
      <c r="W585" s="15" t="n">
        <f aca="false">PI()*POWER((P585/200),2)</f>
        <v>0</v>
      </c>
      <c r="X585" s="15" t="n">
        <f aca="false">PI()*POWER((Q585/200),2)</f>
        <v>0</v>
      </c>
      <c r="Y585" s="15" t="n">
        <f aca="false">PI()*POWER((R585/200),2)</f>
        <v>0</v>
      </c>
      <c r="Z585" s="15" t="n">
        <f aca="false">PI()*POWER((S585/200),2)</f>
        <v>0</v>
      </c>
      <c r="AA585" s="15" t="n">
        <f aca="false">PI()*POWER((T585/200),2)</f>
        <v>0</v>
      </c>
      <c r="AB585" s="15" t="n">
        <f aca="false">PI()*POWER((U585/200),2)</f>
        <v>0</v>
      </c>
    </row>
    <row r="586" customFormat="false" ht="15" hidden="false" customHeight="false" outlineLevel="0" collapsed="false">
      <c r="A586" s="2" t="s">
        <v>20</v>
      </c>
      <c r="B586" s="2" t="n">
        <v>3</v>
      </c>
      <c r="C586" s="64" t="n">
        <v>46265</v>
      </c>
      <c r="D586" s="2" t="n">
        <v>3</v>
      </c>
      <c r="E586" s="2" t="s">
        <v>31</v>
      </c>
      <c r="F586" s="2" t="s">
        <v>34</v>
      </c>
      <c r="G586" s="2" t="s">
        <v>140</v>
      </c>
      <c r="H586" s="2" t="s">
        <v>32</v>
      </c>
      <c r="I586" s="2" t="s">
        <v>25</v>
      </c>
      <c r="J586" s="2" t="n">
        <v>36</v>
      </c>
      <c r="K586" s="32" t="s">
        <v>107</v>
      </c>
      <c r="L586" s="15" t="n">
        <f aca="false">SUM(V586:AB586)</f>
        <v>0.00045238934211693</v>
      </c>
      <c r="M586" s="63" t="n">
        <f aca="false">MAX(O586:U586)</f>
        <v>2.4</v>
      </c>
      <c r="N586" s="15" t="n">
        <f aca="false">COUNTIF(M586,"&gt;9.9")</f>
        <v>0</v>
      </c>
      <c r="O586" s="2" t="n">
        <v>2.4</v>
      </c>
      <c r="V586" s="15" t="n">
        <f aca="false">PI()*POWER((O586/200),2)</f>
        <v>0.00045238934211693</v>
      </c>
      <c r="W586" s="15" t="n">
        <f aca="false">PI()*POWER((P586/200),2)</f>
        <v>0</v>
      </c>
      <c r="X586" s="15" t="n">
        <f aca="false">PI()*POWER((Q586/200),2)</f>
        <v>0</v>
      </c>
      <c r="Y586" s="15" t="n">
        <f aca="false">PI()*POWER((R586/200),2)</f>
        <v>0</v>
      </c>
      <c r="Z586" s="15" t="n">
        <f aca="false">PI()*POWER((S586/200),2)</f>
        <v>0</v>
      </c>
      <c r="AA586" s="15" t="n">
        <f aca="false">PI()*POWER((T586/200),2)</f>
        <v>0</v>
      </c>
      <c r="AB586" s="15" t="n">
        <f aca="false">PI()*POWER((U586/200),2)</f>
        <v>0</v>
      </c>
    </row>
    <row r="587" customFormat="false" ht="15" hidden="false" customHeight="false" outlineLevel="0" collapsed="false">
      <c r="A587" s="2" t="s">
        <v>20</v>
      </c>
      <c r="B587" s="2" t="n">
        <v>3</v>
      </c>
      <c r="C587" s="64" t="n">
        <v>46265</v>
      </c>
      <c r="D587" s="2" t="n">
        <v>3</v>
      </c>
      <c r="E587" s="2" t="s">
        <v>140</v>
      </c>
      <c r="F587" s="2" t="s">
        <v>32</v>
      </c>
      <c r="G587" s="2" t="s">
        <v>31</v>
      </c>
      <c r="H587" s="2" t="s">
        <v>34</v>
      </c>
      <c r="I587" s="2" t="s">
        <v>25</v>
      </c>
      <c r="J587" s="2" t="n">
        <v>17</v>
      </c>
      <c r="K587" s="32" t="s">
        <v>107</v>
      </c>
      <c r="L587" s="15" t="n">
        <f aca="false">SUM(V587:AB587)</f>
        <v>0.000530929158456675</v>
      </c>
      <c r="M587" s="63" t="n">
        <f aca="false">MAX(O587:U587)</f>
        <v>2.6</v>
      </c>
      <c r="N587" s="15" t="n">
        <f aca="false">COUNTIF(M587,"&gt;9.9")</f>
        <v>0</v>
      </c>
      <c r="O587" s="2" t="n">
        <v>2.6</v>
      </c>
      <c r="V587" s="15" t="n">
        <f aca="false">PI()*POWER((O587/200),2)</f>
        <v>0.000530929158456675</v>
      </c>
      <c r="W587" s="15" t="n">
        <f aca="false">PI()*POWER((P587/200),2)</f>
        <v>0</v>
      </c>
      <c r="X587" s="15" t="n">
        <f aca="false">PI()*POWER((Q587/200),2)</f>
        <v>0</v>
      </c>
      <c r="Y587" s="15" t="n">
        <f aca="false">PI()*POWER((R587/200),2)</f>
        <v>0</v>
      </c>
      <c r="Z587" s="15" t="n">
        <f aca="false">PI()*POWER((S587/200),2)</f>
        <v>0</v>
      </c>
      <c r="AA587" s="15" t="n">
        <f aca="false">PI()*POWER((T587/200),2)</f>
        <v>0</v>
      </c>
      <c r="AB587" s="15" t="n">
        <f aca="false">PI()*POWER((U587/200),2)</f>
        <v>0</v>
      </c>
    </row>
    <row r="588" customFormat="false" ht="15" hidden="false" customHeight="false" outlineLevel="0" collapsed="false">
      <c r="A588" s="2" t="s">
        <v>20</v>
      </c>
      <c r="B588" s="2" t="n">
        <v>3</v>
      </c>
      <c r="C588" s="64" t="n">
        <v>46265</v>
      </c>
      <c r="D588" s="2" t="n">
        <v>3</v>
      </c>
      <c r="E588" s="2" t="s">
        <v>31</v>
      </c>
      <c r="F588" s="2" t="s">
        <v>34</v>
      </c>
      <c r="G588" s="2" t="s">
        <v>140</v>
      </c>
      <c r="H588" s="2" t="s">
        <v>32</v>
      </c>
      <c r="I588" s="2" t="s">
        <v>25</v>
      </c>
      <c r="J588" s="2" t="n">
        <v>43</v>
      </c>
      <c r="K588" s="32" t="s">
        <v>107</v>
      </c>
      <c r="L588" s="15" t="n">
        <f aca="false">SUM(V588:AB588)</f>
        <v>0.00101787601976309</v>
      </c>
      <c r="M588" s="63" t="n">
        <f aca="false">MAX(O588:U588)</f>
        <v>3.6</v>
      </c>
      <c r="N588" s="15" t="n">
        <f aca="false">COUNTIF(M588,"&gt;9.9")</f>
        <v>0</v>
      </c>
      <c r="O588" s="2" t="n">
        <v>3.6</v>
      </c>
      <c r="V588" s="15" t="n">
        <f aca="false">PI()*POWER((O588/200),2)</f>
        <v>0.00101787601976309</v>
      </c>
      <c r="W588" s="15" t="n">
        <f aca="false">PI()*POWER((P588/200),2)</f>
        <v>0</v>
      </c>
      <c r="X588" s="15" t="n">
        <f aca="false">PI()*POWER((Q588/200),2)</f>
        <v>0</v>
      </c>
      <c r="Y588" s="15" t="n">
        <f aca="false">PI()*POWER((R588/200),2)</f>
        <v>0</v>
      </c>
      <c r="Z588" s="15" t="n">
        <f aca="false">PI()*POWER((S588/200),2)</f>
        <v>0</v>
      </c>
      <c r="AA588" s="15" t="n">
        <f aca="false">PI()*POWER((T588/200),2)</f>
        <v>0</v>
      </c>
      <c r="AB588" s="15" t="n">
        <f aca="false">PI()*POWER((U588/200),2)</f>
        <v>0</v>
      </c>
    </row>
    <row r="589" customFormat="false" ht="15" hidden="false" customHeight="false" outlineLevel="0" collapsed="false">
      <c r="A589" s="2" t="s">
        <v>20</v>
      </c>
      <c r="B589" s="2" t="n">
        <v>3</v>
      </c>
      <c r="C589" s="64" t="n">
        <v>46265</v>
      </c>
      <c r="D589" s="2" t="n">
        <v>3</v>
      </c>
      <c r="E589" s="2" t="s">
        <v>140</v>
      </c>
      <c r="F589" s="2" t="s">
        <v>32</v>
      </c>
      <c r="G589" s="2" t="s">
        <v>31</v>
      </c>
      <c r="H589" s="2" t="s">
        <v>34</v>
      </c>
      <c r="I589" s="2" t="s">
        <v>25</v>
      </c>
      <c r="J589" s="2" t="n">
        <v>26</v>
      </c>
      <c r="K589" s="32" t="s">
        <v>107</v>
      </c>
      <c r="L589" s="15" t="n">
        <f aca="false">SUM(V589:AB589)</f>
        <v>0.00113411494794592</v>
      </c>
      <c r="M589" s="63" t="n">
        <f aca="false">MAX(O589:U589)</f>
        <v>3.8</v>
      </c>
      <c r="N589" s="15" t="n">
        <f aca="false">COUNTIF(M589,"&gt;9.9")</f>
        <v>0</v>
      </c>
      <c r="O589" s="2" t="n">
        <v>3.8</v>
      </c>
      <c r="V589" s="15" t="n">
        <f aca="false">PI()*POWER((O589/200),2)</f>
        <v>0.00113411494794592</v>
      </c>
      <c r="W589" s="15" t="n">
        <f aca="false">PI()*POWER((P589/200),2)</f>
        <v>0</v>
      </c>
      <c r="X589" s="15" t="n">
        <f aca="false">PI()*POWER((Q589/200),2)</f>
        <v>0</v>
      </c>
      <c r="Y589" s="15" t="n">
        <f aca="false">PI()*POWER((R589/200),2)</f>
        <v>0</v>
      </c>
      <c r="Z589" s="15" t="n">
        <f aca="false">PI()*POWER((S589/200),2)</f>
        <v>0</v>
      </c>
      <c r="AA589" s="15" t="n">
        <f aca="false">PI()*POWER((T589/200),2)</f>
        <v>0</v>
      </c>
      <c r="AB589" s="15" t="n">
        <f aca="false">PI()*POWER((U589/200),2)</f>
        <v>0</v>
      </c>
    </row>
    <row r="590" customFormat="false" ht="15" hidden="false" customHeight="false" outlineLevel="0" collapsed="false">
      <c r="A590" s="2" t="s">
        <v>20</v>
      </c>
      <c r="B590" s="2" t="n">
        <v>3</v>
      </c>
      <c r="C590" s="64" t="n">
        <v>46265</v>
      </c>
      <c r="D590" s="2" t="n">
        <v>3</v>
      </c>
      <c r="E590" s="2" t="s">
        <v>31</v>
      </c>
      <c r="F590" s="2" t="s">
        <v>34</v>
      </c>
      <c r="G590" s="2" t="s">
        <v>140</v>
      </c>
      <c r="H590" s="2" t="s">
        <v>32</v>
      </c>
      <c r="I590" s="2" t="s">
        <v>25</v>
      </c>
      <c r="J590" s="2" t="n">
        <v>45</v>
      </c>
      <c r="K590" s="32" t="s">
        <v>107</v>
      </c>
      <c r="L590" s="15" t="n">
        <f aca="false">SUM(V590:AB590)</f>
        <v>0.00220618344098343</v>
      </c>
      <c r="M590" s="63" t="n">
        <f aca="false">MAX(O590:U590)</f>
        <v>5.3</v>
      </c>
      <c r="N590" s="15" t="n">
        <f aca="false">COUNTIF(M590,"&gt;9.9")</f>
        <v>0</v>
      </c>
      <c r="O590" s="2" t="n">
        <v>5.3</v>
      </c>
      <c r="V590" s="15" t="n">
        <f aca="false">PI()*POWER((O590/200),2)</f>
        <v>0.00220618344098343</v>
      </c>
      <c r="W590" s="15" t="n">
        <f aca="false">PI()*POWER((P590/200),2)</f>
        <v>0</v>
      </c>
      <c r="X590" s="15" t="n">
        <f aca="false">PI()*POWER((Q590/200),2)</f>
        <v>0</v>
      </c>
      <c r="Y590" s="15" t="n">
        <f aca="false">PI()*POWER((R590/200),2)</f>
        <v>0</v>
      </c>
      <c r="Z590" s="15" t="n">
        <f aca="false">PI()*POWER((S590/200),2)</f>
        <v>0</v>
      </c>
      <c r="AA590" s="15" t="n">
        <f aca="false">PI()*POWER((T590/200),2)</f>
        <v>0</v>
      </c>
      <c r="AB590" s="15" t="n">
        <f aca="false">PI()*POWER((U590/200),2)</f>
        <v>0</v>
      </c>
    </row>
    <row r="591" customFormat="false" ht="15" hidden="false" customHeight="false" outlineLevel="0" collapsed="false">
      <c r="A591" s="2" t="s">
        <v>20</v>
      </c>
      <c r="B591" s="2" t="n">
        <v>3</v>
      </c>
      <c r="C591" s="64" t="n">
        <v>46265</v>
      </c>
      <c r="D591" s="2" t="n">
        <v>3</v>
      </c>
      <c r="E591" s="2" t="s">
        <v>31</v>
      </c>
      <c r="F591" s="2" t="s">
        <v>34</v>
      </c>
      <c r="G591" s="2" t="s">
        <v>140</v>
      </c>
      <c r="H591" s="2" t="s">
        <v>32</v>
      </c>
      <c r="I591" s="2" t="s">
        <v>25</v>
      </c>
      <c r="J591" s="2" t="n">
        <v>40</v>
      </c>
      <c r="K591" s="32" t="s">
        <v>107</v>
      </c>
      <c r="L591" s="15" t="n">
        <f aca="false">SUM(V591:AB591)</f>
        <v>0.004185386812745</v>
      </c>
      <c r="M591" s="63" t="n">
        <f aca="false">MAX(O591:U591)</f>
        <v>7.3</v>
      </c>
      <c r="N591" s="15" t="n">
        <f aca="false">COUNTIF(M591,"&gt;9.9")</f>
        <v>0</v>
      </c>
      <c r="O591" s="2" t="n">
        <v>7.3</v>
      </c>
      <c r="V591" s="15" t="n">
        <f aca="false">PI()*POWER((O591/200),2)</f>
        <v>0.004185386812745</v>
      </c>
      <c r="W591" s="15" t="n">
        <f aca="false">PI()*POWER((P591/200),2)</f>
        <v>0</v>
      </c>
      <c r="X591" s="15" t="n">
        <f aca="false">PI()*POWER((Q591/200),2)</f>
        <v>0</v>
      </c>
      <c r="Y591" s="15" t="n">
        <f aca="false">PI()*POWER((R591/200),2)</f>
        <v>0</v>
      </c>
      <c r="Z591" s="15" t="n">
        <f aca="false">PI()*POWER((S591/200),2)</f>
        <v>0</v>
      </c>
      <c r="AA591" s="15" t="n">
        <f aca="false">PI()*POWER((T591/200),2)</f>
        <v>0</v>
      </c>
      <c r="AB591" s="15" t="n">
        <f aca="false">PI()*POWER((U591/200),2)</f>
        <v>0</v>
      </c>
    </row>
    <row r="592" customFormat="false" ht="15" hidden="false" customHeight="false" outlineLevel="0" collapsed="false">
      <c r="A592" s="2" t="s">
        <v>20</v>
      </c>
      <c r="B592" s="2" t="n">
        <v>3</v>
      </c>
      <c r="C592" s="64" t="n">
        <v>46265</v>
      </c>
      <c r="D592" s="2" t="n">
        <v>3</v>
      </c>
      <c r="E592" s="2" t="s">
        <v>31</v>
      </c>
      <c r="F592" s="2" t="s">
        <v>34</v>
      </c>
      <c r="G592" s="2" t="s">
        <v>140</v>
      </c>
      <c r="H592" s="2" t="s">
        <v>32</v>
      </c>
      <c r="I592" s="2" t="s">
        <v>25</v>
      </c>
      <c r="J592" s="2" t="n">
        <v>49</v>
      </c>
      <c r="K592" s="32" t="s">
        <v>107</v>
      </c>
      <c r="L592" s="15" t="n">
        <f aca="false">SUM(V592:AB592)</f>
        <v>0.004185386812745</v>
      </c>
      <c r="M592" s="63" t="n">
        <f aca="false">MAX(O592:U592)</f>
        <v>7.3</v>
      </c>
      <c r="N592" s="15" t="n">
        <f aca="false">COUNTIF(M592,"&gt;9.9")</f>
        <v>0</v>
      </c>
      <c r="O592" s="2" t="n">
        <v>7.3</v>
      </c>
      <c r="V592" s="15" t="n">
        <f aca="false">PI()*POWER((O592/200),2)</f>
        <v>0.004185386812745</v>
      </c>
      <c r="W592" s="15" t="n">
        <f aca="false">PI()*POWER((P592/200),2)</f>
        <v>0</v>
      </c>
      <c r="X592" s="15" t="n">
        <f aca="false">PI()*POWER((Q592/200),2)</f>
        <v>0</v>
      </c>
      <c r="Y592" s="15" t="n">
        <f aca="false">PI()*POWER((R592/200),2)</f>
        <v>0</v>
      </c>
      <c r="Z592" s="15" t="n">
        <f aca="false">PI()*POWER((S592/200),2)</f>
        <v>0</v>
      </c>
      <c r="AA592" s="15" t="n">
        <f aca="false">PI()*POWER((T592/200),2)</f>
        <v>0</v>
      </c>
      <c r="AB592" s="15" t="n">
        <f aca="false">PI()*POWER((U592/200),2)</f>
        <v>0</v>
      </c>
    </row>
    <row r="593" customFormat="false" ht="15" hidden="false" customHeight="false" outlineLevel="0" collapsed="false">
      <c r="A593" s="2" t="s">
        <v>20</v>
      </c>
      <c r="B593" s="2" t="n">
        <v>3</v>
      </c>
      <c r="C593" s="64" t="n">
        <v>46265</v>
      </c>
      <c r="D593" s="2" t="n">
        <v>3</v>
      </c>
      <c r="E593" s="2" t="s">
        <v>31</v>
      </c>
      <c r="F593" s="2" t="s">
        <v>34</v>
      </c>
      <c r="G593" s="2" t="s">
        <v>140</v>
      </c>
      <c r="H593" s="2" t="s">
        <v>32</v>
      </c>
      <c r="I593" s="2" t="s">
        <v>25</v>
      </c>
      <c r="J593" s="2" t="n">
        <v>46</v>
      </c>
      <c r="K593" s="32" t="s">
        <v>107</v>
      </c>
      <c r="L593" s="15" t="n">
        <f aca="false">SUM(V593:AB593)</f>
        <v>0.00594467869875529</v>
      </c>
      <c r="M593" s="63" t="n">
        <f aca="false">MAX(O593:U593)</f>
        <v>8.7</v>
      </c>
      <c r="N593" s="15" t="n">
        <f aca="false">COUNTIF(M593,"&gt;9.9")</f>
        <v>0</v>
      </c>
      <c r="O593" s="2" t="n">
        <v>8.7</v>
      </c>
      <c r="V593" s="15" t="n">
        <f aca="false">PI()*POWER((O593/200),2)</f>
        <v>0.00594467869875529</v>
      </c>
      <c r="W593" s="15" t="n">
        <f aca="false">PI()*POWER((P593/200),2)</f>
        <v>0</v>
      </c>
      <c r="X593" s="15" t="n">
        <f aca="false">PI()*POWER((Q593/200),2)</f>
        <v>0</v>
      </c>
      <c r="Y593" s="15" t="n">
        <f aca="false">PI()*POWER((R593/200),2)</f>
        <v>0</v>
      </c>
      <c r="Z593" s="15" t="n">
        <f aca="false">PI()*POWER((S593/200),2)</f>
        <v>0</v>
      </c>
      <c r="AA593" s="15" t="n">
        <f aca="false">PI()*POWER((T593/200),2)</f>
        <v>0</v>
      </c>
      <c r="AB593" s="15" t="n">
        <f aca="false">PI()*POWER((U593/200),2)</f>
        <v>0</v>
      </c>
    </row>
    <row r="594" customFormat="false" ht="15" hidden="false" customHeight="false" outlineLevel="0" collapsed="false">
      <c r="A594" s="2" t="s">
        <v>20</v>
      </c>
      <c r="B594" s="2" t="n">
        <v>3</v>
      </c>
      <c r="C594" s="64" t="n">
        <v>46265</v>
      </c>
      <c r="D594" s="2" t="n">
        <v>3</v>
      </c>
      <c r="E594" s="2" t="s">
        <v>140</v>
      </c>
      <c r="F594" s="2" t="s">
        <v>32</v>
      </c>
      <c r="G594" s="2" t="s">
        <v>31</v>
      </c>
      <c r="H594" s="2" t="s">
        <v>34</v>
      </c>
      <c r="I594" s="2" t="s">
        <v>25</v>
      </c>
      <c r="J594" s="2" t="n">
        <v>23</v>
      </c>
      <c r="K594" s="32" t="s">
        <v>107</v>
      </c>
      <c r="L594" s="15" t="n">
        <f aca="false">SUM(V594:AB594)</f>
        <v>0.00679290871522453</v>
      </c>
      <c r="M594" s="63" t="n">
        <f aca="false">MAX(O594:U594)</f>
        <v>9.3</v>
      </c>
      <c r="N594" s="15" t="n">
        <f aca="false">COUNTIF(M594,"&gt;9.9")</f>
        <v>0</v>
      </c>
      <c r="O594" s="2" t="n">
        <v>9.3</v>
      </c>
      <c r="V594" s="15" t="n">
        <f aca="false">PI()*POWER((O594/200),2)</f>
        <v>0.00679290871522453</v>
      </c>
      <c r="W594" s="15" t="n">
        <f aca="false">PI()*POWER((P594/200),2)</f>
        <v>0</v>
      </c>
      <c r="X594" s="15" t="n">
        <f aca="false">PI()*POWER((Q594/200),2)</f>
        <v>0</v>
      </c>
      <c r="Y594" s="15" t="n">
        <f aca="false">PI()*POWER((R594/200),2)</f>
        <v>0</v>
      </c>
      <c r="Z594" s="15" t="n">
        <f aca="false">PI()*POWER((S594/200),2)</f>
        <v>0</v>
      </c>
      <c r="AA594" s="15" t="n">
        <f aca="false">PI()*POWER((T594/200),2)</f>
        <v>0</v>
      </c>
      <c r="AB594" s="15" t="n">
        <f aca="false">PI()*POWER((U594/200),2)</f>
        <v>0</v>
      </c>
    </row>
    <row r="595" customFormat="false" ht="15" hidden="false" customHeight="false" outlineLevel="0" collapsed="false">
      <c r="A595" s="2" t="s">
        <v>20</v>
      </c>
      <c r="B595" s="2" t="n">
        <v>3</v>
      </c>
      <c r="C595" s="64" t="n">
        <v>46265</v>
      </c>
      <c r="D595" s="2" t="n">
        <v>3</v>
      </c>
      <c r="E595" s="2" t="s">
        <v>140</v>
      </c>
      <c r="F595" s="2" t="s">
        <v>32</v>
      </c>
      <c r="G595" s="2" t="s">
        <v>31</v>
      </c>
      <c r="H595" s="2" t="s">
        <v>34</v>
      </c>
      <c r="I595" s="2" t="s">
        <v>25</v>
      </c>
      <c r="J595" s="2" t="n">
        <v>25</v>
      </c>
      <c r="K595" s="32" t="s">
        <v>107</v>
      </c>
      <c r="L595" s="15" t="n">
        <f aca="false">SUM(V595:AB595)</f>
        <v>0.0107513154587477</v>
      </c>
      <c r="M595" s="63" t="n">
        <f aca="false">MAX(O595:U595)</f>
        <v>11.7</v>
      </c>
      <c r="N595" s="15" t="n">
        <f aca="false">COUNTIF(M595,"&gt;9.9")</f>
        <v>1</v>
      </c>
      <c r="O595" s="2" t="n">
        <v>11.7</v>
      </c>
      <c r="V595" s="15" t="n">
        <f aca="false">PI()*POWER((O595/200),2)</f>
        <v>0.0107513154587477</v>
      </c>
      <c r="W595" s="15" t="n">
        <f aca="false">PI()*POWER((P595/200),2)</f>
        <v>0</v>
      </c>
      <c r="X595" s="15" t="n">
        <f aca="false">PI()*POWER((Q595/200),2)</f>
        <v>0</v>
      </c>
      <c r="Y595" s="15" t="n">
        <f aca="false">PI()*POWER((R595/200),2)</f>
        <v>0</v>
      </c>
      <c r="Z595" s="15" t="n">
        <f aca="false">PI()*POWER((S595/200),2)</f>
        <v>0</v>
      </c>
      <c r="AA595" s="15" t="n">
        <f aca="false">PI()*POWER((T595/200),2)</f>
        <v>0</v>
      </c>
      <c r="AB595" s="15" t="n">
        <f aca="false">PI()*POWER((U595/200),2)</f>
        <v>0</v>
      </c>
    </row>
    <row r="596" customFormat="false" ht="15" hidden="false" customHeight="false" outlineLevel="0" collapsed="false">
      <c r="A596" s="2" t="s">
        <v>20</v>
      </c>
      <c r="B596" s="2" t="n">
        <v>3</v>
      </c>
      <c r="C596" s="64" t="n">
        <v>46265</v>
      </c>
      <c r="D596" s="2" t="n">
        <v>3</v>
      </c>
      <c r="E596" s="2" t="s">
        <v>140</v>
      </c>
      <c r="F596" s="2" t="s">
        <v>32</v>
      </c>
      <c r="G596" s="2" t="s">
        <v>31</v>
      </c>
      <c r="H596" s="2" t="s">
        <v>34</v>
      </c>
      <c r="I596" s="2" t="s">
        <v>25</v>
      </c>
      <c r="J596" s="2" t="n">
        <v>18</v>
      </c>
      <c r="K596" s="32" t="s">
        <v>107</v>
      </c>
      <c r="L596" s="15" t="n">
        <f aca="false">SUM(V596:AB596)</f>
        <v>0.0141026094219646</v>
      </c>
      <c r="M596" s="63" t="n">
        <f aca="false">MAX(O596:U596)</f>
        <v>13.4</v>
      </c>
      <c r="N596" s="15" t="n">
        <f aca="false">COUNTIF(M596,"&gt;9.9")</f>
        <v>1</v>
      </c>
      <c r="O596" s="2" t="n">
        <v>13.4</v>
      </c>
      <c r="V596" s="15" t="n">
        <f aca="false">PI()*POWER((O596/200),2)</f>
        <v>0.0141026094219646</v>
      </c>
      <c r="W596" s="15" t="n">
        <f aca="false">PI()*POWER((P596/200),2)</f>
        <v>0</v>
      </c>
      <c r="X596" s="15" t="n">
        <f aca="false">PI()*POWER((Q596/200),2)</f>
        <v>0</v>
      </c>
      <c r="Y596" s="15" t="n">
        <f aca="false">PI()*POWER((R596/200),2)</f>
        <v>0</v>
      </c>
      <c r="Z596" s="15" t="n">
        <f aca="false">PI()*POWER((S596/200),2)</f>
        <v>0</v>
      </c>
      <c r="AA596" s="15" t="n">
        <f aca="false">PI()*POWER((T596/200),2)</f>
        <v>0</v>
      </c>
      <c r="AB596" s="15" t="n">
        <f aca="false">PI()*POWER((U596/200),2)</f>
        <v>0</v>
      </c>
    </row>
    <row r="597" customFormat="false" ht="15" hidden="false" customHeight="false" outlineLevel="0" collapsed="false">
      <c r="A597" s="2" t="s">
        <v>20</v>
      </c>
      <c r="B597" s="2" t="n">
        <v>3</v>
      </c>
      <c r="C597" s="64" t="n">
        <v>46265</v>
      </c>
      <c r="D597" s="2" t="n">
        <v>3</v>
      </c>
      <c r="E597" s="2" t="s">
        <v>140</v>
      </c>
      <c r="F597" s="2" t="s">
        <v>32</v>
      </c>
      <c r="G597" s="2" t="s">
        <v>31</v>
      </c>
      <c r="H597" s="2" t="s">
        <v>34</v>
      </c>
      <c r="I597" s="2" t="s">
        <v>25</v>
      </c>
      <c r="J597" s="2" t="n">
        <v>16</v>
      </c>
      <c r="K597" s="32" t="s">
        <v>107</v>
      </c>
      <c r="L597" s="15" t="n">
        <f aca="false">SUM(V597:AB597)</f>
        <v>0.0145267244301992</v>
      </c>
      <c r="M597" s="63" t="n">
        <f aca="false">MAX(O597:U597)</f>
        <v>13.6</v>
      </c>
      <c r="N597" s="15" t="n">
        <f aca="false">COUNTIF(M597,"&gt;9.9")</f>
        <v>1</v>
      </c>
      <c r="O597" s="2" t="n">
        <v>13.6</v>
      </c>
      <c r="V597" s="15" t="n">
        <f aca="false">PI()*POWER((O597/200),2)</f>
        <v>0.0145267244301992</v>
      </c>
      <c r="W597" s="15" t="n">
        <f aca="false">PI()*POWER((P597/200),2)</f>
        <v>0</v>
      </c>
      <c r="X597" s="15" t="n">
        <f aca="false">PI()*POWER((Q597/200),2)</f>
        <v>0</v>
      </c>
      <c r="Y597" s="15" t="n">
        <f aca="false">PI()*POWER((R597/200),2)</f>
        <v>0</v>
      </c>
      <c r="Z597" s="15" t="n">
        <f aca="false">PI()*POWER((S597/200),2)</f>
        <v>0</v>
      </c>
      <c r="AA597" s="15" t="n">
        <f aca="false">PI()*POWER((T597/200),2)</f>
        <v>0</v>
      </c>
      <c r="AB597" s="15" t="n">
        <f aca="false">PI()*POWER((U597/200),2)</f>
        <v>0</v>
      </c>
    </row>
    <row r="598" customFormat="false" ht="15" hidden="false" customHeight="false" outlineLevel="0" collapsed="false">
      <c r="A598" s="2" t="s">
        <v>20</v>
      </c>
      <c r="B598" s="2" t="n">
        <v>3</v>
      </c>
      <c r="C598" s="64" t="n">
        <v>46265</v>
      </c>
      <c r="D598" s="2" t="n">
        <v>3</v>
      </c>
      <c r="E598" s="2" t="s">
        <v>140</v>
      </c>
      <c r="F598" s="2" t="s">
        <v>32</v>
      </c>
      <c r="G598" s="2" t="s">
        <v>31</v>
      </c>
      <c r="H598" s="2" t="s">
        <v>34</v>
      </c>
      <c r="I598" s="2" t="s">
        <v>25</v>
      </c>
      <c r="J598" s="2" t="n">
        <v>22</v>
      </c>
      <c r="K598" s="32" t="s">
        <v>107</v>
      </c>
      <c r="L598" s="15" t="n">
        <f aca="false">SUM(V598:AB598)</f>
        <v>0.0206119894002026</v>
      </c>
      <c r="M598" s="63" t="n">
        <f aca="false">MAX(O598:U598)</f>
        <v>16.2</v>
      </c>
      <c r="N598" s="15" t="n">
        <f aca="false">COUNTIF(M598,"&gt;9.9")</f>
        <v>1</v>
      </c>
      <c r="O598" s="2" t="n">
        <v>16.2</v>
      </c>
      <c r="V598" s="15" t="n">
        <f aca="false">PI()*POWER((O598/200),2)</f>
        <v>0.0206119894002026</v>
      </c>
      <c r="W598" s="15" t="n">
        <f aca="false">PI()*POWER((P598/200),2)</f>
        <v>0</v>
      </c>
      <c r="X598" s="15" t="n">
        <f aca="false">PI()*POWER((Q598/200),2)</f>
        <v>0</v>
      </c>
      <c r="Y598" s="15" t="n">
        <f aca="false">PI()*POWER((R598/200),2)</f>
        <v>0</v>
      </c>
      <c r="Z598" s="15" t="n">
        <f aca="false">PI()*POWER((S598/200),2)</f>
        <v>0</v>
      </c>
      <c r="AA598" s="15" t="n">
        <f aca="false">PI()*POWER((T598/200),2)</f>
        <v>0</v>
      </c>
      <c r="AB598" s="15" t="n">
        <f aca="false">PI()*POWER((U598/200),2)</f>
        <v>0</v>
      </c>
    </row>
    <row r="599" customFormat="false" ht="15" hidden="false" customHeight="false" outlineLevel="0" collapsed="false">
      <c r="A599" s="2" t="s">
        <v>20</v>
      </c>
      <c r="B599" s="2" t="n">
        <v>3</v>
      </c>
      <c r="C599" s="64" t="n">
        <v>46265</v>
      </c>
      <c r="D599" s="2" t="n">
        <v>3</v>
      </c>
      <c r="E599" s="2" t="s">
        <v>140</v>
      </c>
      <c r="F599" s="2" t="s">
        <v>32</v>
      </c>
      <c r="G599" s="2" t="s">
        <v>31</v>
      </c>
      <c r="H599" s="2" t="s">
        <v>34</v>
      </c>
      <c r="I599" s="2" t="s">
        <v>25</v>
      </c>
      <c r="J599" s="2" t="n">
        <v>4</v>
      </c>
      <c r="K599" s="32" t="s">
        <v>107</v>
      </c>
      <c r="L599" s="15" t="n">
        <f aca="false">SUM(V599:AB599)</f>
        <v>0.0216424317905801</v>
      </c>
      <c r="M599" s="63" t="n">
        <f aca="false">MAX(O599:U599)</f>
        <v>16.6</v>
      </c>
      <c r="N599" s="15" t="n">
        <f aca="false">COUNTIF(M599,"&gt;9.9")</f>
        <v>1</v>
      </c>
      <c r="O599" s="2" t="n">
        <v>16.6</v>
      </c>
      <c r="V599" s="15" t="n">
        <f aca="false">PI()*POWER((O599/200),2)</f>
        <v>0.0216424317905801</v>
      </c>
      <c r="W599" s="15" t="n">
        <f aca="false">PI()*POWER((P599/200),2)</f>
        <v>0</v>
      </c>
      <c r="X599" s="15" t="n">
        <f aca="false">PI()*POWER((Q599/200),2)</f>
        <v>0</v>
      </c>
      <c r="Y599" s="15" t="n">
        <f aca="false">PI()*POWER((R599/200),2)</f>
        <v>0</v>
      </c>
      <c r="Z599" s="15" t="n">
        <f aca="false">PI()*POWER((S599/200),2)</f>
        <v>0</v>
      </c>
      <c r="AA599" s="15" t="n">
        <f aca="false">PI()*POWER((T599/200),2)</f>
        <v>0</v>
      </c>
      <c r="AB599" s="15" t="n">
        <f aca="false">PI()*POWER((U599/200),2)</f>
        <v>0</v>
      </c>
    </row>
    <row r="600" customFormat="false" ht="15" hidden="false" customHeight="false" outlineLevel="0" collapsed="false">
      <c r="A600" s="2" t="s">
        <v>20</v>
      </c>
      <c r="B600" s="2" t="n">
        <v>3</v>
      </c>
      <c r="C600" s="64" t="n">
        <v>46265</v>
      </c>
      <c r="D600" s="2" t="n">
        <v>3</v>
      </c>
      <c r="E600" s="2" t="s">
        <v>31</v>
      </c>
      <c r="F600" s="2" t="s">
        <v>34</v>
      </c>
      <c r="G600" s="2" t="s">
        <v>140</v>
      </c>
      <c r="H600" s="2" t="s">
        <v>32</v>
      </c>
      <c r="I600" s="2" t="s">
        <v>25</v>
      </c>
      <c r="J600" s="2" t="n">
        <v>37</v>
      </c>
      <c r="K600" s="32" t="s">
        <v>107</v>
      </c>
      <c r="L600" s="15" t="n">
        <f aca="false">SUM(V600:AB600)</f>
        <v>0.0463235690753449</v>
      </c>
      <c r="M600" s="63" t="n">
        <f aca="false">MAX(O600:U600)</f>
        <v>23.4</v>
      </c>
      <c r="N600" s="15" t="n">
        <f aca="false">COUNTIF(M600,"&gt;9.9")</f>
        <v>1</v>
      </c>
      <c r="O600" s="2" t="n">
        <v>23.4</v>
      </c>
      <c r="P600" s="2" t="n">
        <v>6.5</v>
      </c>
      <c r="V600" s="15" t="n">
        <f aca="false">PI()*POWER((O600/200),2)</f>
        <v>0.0430052618349907</v>
      </c>
      <c r="W600" s="15" t="n">
        <f aca="false">PI()*POWER((P600/200),2)</f>
        <v>0.00331830724035422</v>
      </c>
      <c r="X600" s="15" t="n">
        <f aca="false">PI()*POWER((Q600/200),2)</f>
        <v>0</v>
      </c>
      <c r="Y600" s="15" t="n">
        <f aca="false">PI()*POWER((R600/200),2)</f>
        <v>0</v>
      </c>
      <c r="Z600" s="15" t="n">
        <f aca="false">PI()*POWER((S600/200),2)</f>
        <v>0</v>
      </c>
      <c r="AA600" s="15" t="n">
        <f aca="false">PI()*POWER((T600/200),2)</f>
        <v>0</v>
      </c>
      <c r="AB600" s="15" t="n">
        <f aca="false">PI()*POWER((U600/200),2)</f>
        <v>0</v>
      </c>
    </row>
    <row r="601" customFormat="false" ht="15" hidden="false" customHeight="false" outlineLevel="0" collapsed="false">
      <c r="A601" s="2" t="s">
        <v>20</v>
      </c>
      <c r="B601" s="2" t="n">
        <v>3</v>
      </c>
      <c r="C601" s="64" t="n">
        <v>46265</v>
      </c>
      <c r="D601" s="2" t="n">
        <v>3</v>
      </c>
      <c r="E601" s="2" t="s">
        <v>31</v>
      </c>
      <c r="F601" s="2" t="s">
        <v>34</v>
      </c>
      <c r="G601" s="2" t="s">
        <v>140</v>
      </c>
      <c r="H601" s="2" t="s">
        <v>32</v>
      </c>
      <c r="I601" s="2" t="s">
        <v>25</v>
      </c>
      <c r="J601" s="2" t="n">
        <v>50</v>
      </c>
      <c r="K601" s="32" t="s">
        <v>107</v>
      </c>
      <c r="L601" s="15" t="n">
        <f aca="false">SUM(V601:AB601)</f>
        <v>0.122911670979047</v>
      </c>
      <c r="M601" s="63" t="n">
        <f aca="false">MAX(O601:U601)</f>
        <v>36</v>
      </c>
      <c r="N601" s="15" t="n">
        <f aca="false">COUNTIF(M601,"&gt;9.9")</f>
        <v>1</v>
      </c>
      <c r="O601" s="2" t="n">
        <v>36</v>
      </c>
      <c r="P601" s="2" t="n">
        <v>16.4</v>
      </c>
      <c r="V601" s="15" t="n">
        <f aca="false">PI()*POWER((O601/200),2)</f>
        <v>0.101787601976309</v>
      </c>
      <c r="W601" s="15" t="n">
        <f aca="false">PI()*POWER((P601/200),2)</f>
        <v>0.0211240690027378</v>
      </c>
      <c r="X601" s="15" t="n">
        <f aca="false">PI()*POWER((Q601/200),2)</f>
        <v>0</v>
      </c>
      <c r="Y601" s="15" t="n">
        <f aca="false">PI()*POWER((R601/200),2)</f>
        <v>0</v>
      </c>
      <c r="Z601" s="15" t="n">
        <f aca="false">PI()*POWER((S601/200),2)</f>
        <v>0</v>
      </c>
      <c r="AA601" s="15" t="n">
        <f aca="false">PI()*POWER((T601/200),2)</f>
        <v>0</v>
      </c>
      <c r="AB601" s="15" t="n">
        <f aca="false">PI()*POWER((U601/200),2)</f>
        <v>0</v>
      </c>
    </row>
    <row r="602" customFormat="false" ht="15" hidden="false" customHeight="false" outlineLevel="0" collapsed="false">
      <c r="A602" s="2" t="s">
        <v>20</v>
      </c>
      <c r="B602" s="2" t="n">
        <v>3</v>
      </c>
      <c r="C602" s="64" t="n">
        <v>46265</v>
      </c>
      <c r="D602" s="2" t="n">
        <v>3</v>
      </c>
      <c r="E602" s="2" t="s">
        <v>31</v>
      </c>
      <c r="F602" s="2" t="s">
        <v>34</v>
      </c>
      <c r="G602" s="2" t="s">
        <v>140</v>
      </c>
      <c r="H602" s="2" t="s">
        <v>32</v>
      </c>
      <c r="I602" s="2" t="s">
        <v>25</v>
      </c>
      <c r="J602" s="2" t="n">
        <v>38</v>
      </c>
      <c r="K602" s="32" t="s">
        <v>107</v>
      </c>
      <c r="L602" s="15" t="n">
        <f aca="false">SUM(V602:AB602)</f>
        <v>0.114009182796937</v>
      </c>
      <c r="M602" s="63" t="n">
        <f aca="false">MAX(O602:U602)</f>
        <v>38.1</v>
      </c>
      <c r="N602" s="15" t="n">
        <f aca="false">COUNTIF(M602,"&gt;9.9")</f>
        <v>1</v>
      </c>
      <c r="O602" s="2" t="n">
        <v>38.1</v>
      </c>
      <c r="V602" s="15" t="n">
        <f aca="false">PI()*POWER((O602/200),2)</f>
        <v>0.114009182796937</v>
      </c>
      <c r="W602" s="15" t="n">
        <f aca="false">PI()*POWER((P602/200),2)</f>
        <v>0</v>
      </c>
      <c r="X602" s="15" t="n">
        <f aca="false">PI()*POWER((Q602/200),2)</f>
        <v>0</v>
      </c>
      <c r="Y602" s="15" t="n">
        <f aca="false">PI()*POWER((R602/200),2)</f>
        <v>0</v>
      </c>
      <c r="Z602" s="15" t="n">
        <f aca="false">PI()*POWER((S602/200),2)</f>
        <v>0</v>
      </c>
      <c r="AA602" s="15" t="n">
        <f aca="false">PI()*POWER((T602/200),2)</f>
        <v>0</v>
      </c>
      <c r="AB602" s="15" t="n">
        <f aca="false">PI()*POWER((U602/200),2)</f>
        <v>0</v>
      </c>
    </row>
    <row r="603" customFormat="false" ht="15" hidden="false" customHeight="false" outlineLevel="0" collapsed="false">
      <c r="A603" s="2" t="s">
        <v>20</v>
      </c>
      <c r="B603" s="2" t="n">
        <v>3</v>
      </c>
      <c r="C603" s="9" t="n">
        <v>46265</v>
      </c>
      <c r="D603" s="2" t="n">
        <v>4</v>
      </c>
      <c r="E603" s="2" t="s">
        <v>35</v>
      </c>
      <c r="F603" s="2" t="s">
        <v>36</v>
      </c>
      <c r="G603" s="2" t="s">
        <v>37</v>
      </c>
      <c r="H603" s="2" t="s">
        <v>38</v>
      </c>
      <c r="I603" s="2" t="s">
        <v>39</v>
      </c>
      <c r="J603" s="2" t="n">
        <v>97</v>
      </c>
      <c r="K603" s="32" t="s">
        <v>161</v>
      </c>
      <c r="L603" s="15" t="n">
        <f aca="false">SUM(V603:AB603)</f>
        <v>0.00352565235549115</v>
      </c>
      <c r="M603" s="15" t="n">
        <f aca="false">MAX(O603:U603)</f>
        <v>6.7</v>
      </c>
      <c r="N603" s="15" t="n">
        <f aca="false">COUNTIF(M603,"&gt;9.9")</f>
        <v>0</v>
      </c>
      <c r="O603" s="2" t="n">
        <v>6.7</v>
      </c>
      <c r="V603" s="15" t="n">
        <f aca="false">PI()*POWER((O603/200),2)</f>
        <v>0.00352565235549115</v>
      </c>
      <c r="W603" s="15" t="n">
        <f aca="false">PI()*POWER((P603/200),2)</f>
        <v>0</v>
      </c>
      <c r="X603" s="15" t="n">
        <f aca="false">PI()*POWER((Q603/200),2)</f>
        <v>0</v>
      </c>
      <c r="Y603" s="15" t="n">
        <f aca="false">PI()*POWER((R603/200),2)</f>
        <v>0</v>
      </c>
      <c r="Z603" s="15" t="n">
        <f aca="false">PI()*POWER((S603/200),2)</f>
        <v>0</v>
      </c>
      <c r="AA603" s="15" t="n">
        <f aca="false">PI()*POWER((T603/200),2)</f>
        <v>0</v>
      </c>
      <c r="AB603" s="15" t="n">
        <f aca="false">PI()*POWER((U603/200),2)</f>
        <v>0</v>
      </c>
    </row>
    <row r="604" customFormat="false" ht="15" hidden="false" customHeight="false" outlineLevel="0" collapsed="false">
      <c r="A604" s="2" t="s">
        <v>20</v>
      </c>
      <c r="B604" s="2" t="n">
        <v>3</v>
      </c>
      <c r="C604" s="9" t="n">
        <v>46265</v>
      </c>
      <c r="D604" s="2" t="n">
        <v>4</v>
      </c>
      <c r="E604" s="2" t="s">
        <v>35</v>
      </c>
      <c r="F604" s="2" t="s">
        <v>36</v>
      </c>
      <c r="G604" s="2" t="s">
        <v>37</v>
      </c>
      <c r="H604" s="2" t="s">
        <v>38</v>
      </c>
      <c r="I604" s="2" t="s">
        <v>39</v>
      </c>
      <c r="J604" s="2" t="n">
        <v>98</v>
      </c>
      <c r="K604" s="32" t="s">
        <v>161</v>
      </c>
      <c r="L604" s="15" t="n">
        <f aca="false">SUM(V604:AB604)</f>
        <v>0.0163889034756146</v>
      </c>
      <c r="M604" s="15" t="n">
        <f aca="false">MAX(O604:U604)</f>
        <v>13.7</v>
      </c>
      <c r="N604" s="15" t="n">
        <f aca="false">COUNTIF(M604,"&gt;9.9")</f>
        <v>1</v>
      </c>
      <c r="O604" s="2" t="n">
        <v>13.7</v>
      </c>
      <c r="P604" s="2" t="n">
        <v>2.7</v>
      </c>
      <c r="Q604" s="2" t="n">
        <v>3.7</v>
      </c>
      <c r="V604" s="15" t="n">
        <f aca="false">PI()*POWER((O604/200),2)</f>
        <v>0.0147411381288067</v>
      </c>
      <c r="W604" s="15" t="n">
        <f aca="false">PI()*POWER((P604/200),2)</f>
        <v>0.00057255526111674</v>
      </c>
      <c r="X604" s="15" t="n">
        <f aca="false">PI()*POWER((Q604/200),2)</f>
        <v>0.00107521008569111</v>
      </c>
      <c r="Y604" s="15" t="n">
        <f aca="false">PI()*POWER((R604/200),2)</f>
        <v>0</v>
      </c>
      <c r="Z604" s="15" t="n">
        <f aca="false">PI()*POWER((S604/200),2)</f>
        <v>0</v>
      </c>
      <c r="AA604" s="15" t="n">
        <f aca="false">PI()*POWER((T604/200),2)</f>
        <v>0</v>
      </c>
      <c r="AB604" s="15" t="n">
        <f aca="false">PI()*POWER((U604/200),2)</f>
        <v>0</v>
      </c>
    </row>
    <row r="605" customFormat="false" ht="15" hidden="false" customHeight="false" outlineLevel="0" collapsed="false">
      <c r="A605" s="2" t="s">
        <v>20</v>
      </c>
      <c r="B605" s="2" t="n">
        <v>3</v>
      </c>
      <c r="C605" s="9" t="n">
        <v>46265</v>
      </c>
      <c r="D605" s="2" t="n">
        <v>4</v>
      </c>
      <c r="E605" s="2" t="s">
        <v>35</v>
      </c>
      <c r="F605" s="2" t="s">
        <v>36</v>
      </c>
      <c r="G605" s="2" t="s">
        <v>37</v>
      </c>
      <c r="H605" s="2" t="s">
        <v>38</v>
      </c>
      <c r="I605" s="2" t="s">
        <v>39</v>
      </c>
      <c r="J605" s="2" t="n">
        <v>57</v>
      </c>
      <c r="K605" s="32" t="s">
        <v>105</v>
      </c>
      <c r="L605" s="15" t="n">
        <f aca="false">SUM(V605:AB605)</f>
        <v>6.36172512351933E-005</v>
      </c>
      <c r="M605" s="15" t="n">
        <f aca="false">MAX(O605:U605)</f>
        <v>0.9</v>
      </c>
      <c r="N605" s="15" t="n">
        <f aca="false">COUNTIF(M605,"&gt;9.9")</f>
        <v>0</v>
      </c>
      <c r="O605" s="2" t="n">
        <v>0.9</v>
      </c>
      <c r="V605" s="15" t="n">
        <f aca="false">PI()*POWER((O605/200),2)</f>
        <v>6.36172512351933E-005</v>
      </c>
      <c r="W605" s="15" t="n">
        <f aca="false">PI()*POWER((P605/200),2)</f>
        <v>0</v>
      </c>
      <c r="X605" s="15" t="n">
        <f aca="false">PI()*POWER((Q605/200),2)</f>
        <v>0</v>
      </c>
      <c r="Y605" s="15" t="n">
        <f aca="false">PI()*POWER((R605/200),2)</f>
        <v>0</v>
      </c>
      <c r="Z605" s="15" t="n">
        <f aca="false">PI()*POWER((S605/200),2)</f>
        <v>0</v>
      </c>
      <c r="AA605" s="15" t="n">
        <f aca="false">PI()*POWER((T605/200),2)</f>
        <v>0</v>
      </c>
      <c r="AB605" s="15" t="n">
        <f aca="false">PI()*POWER((U605/200),2)</f>
        <v>0</v>
      </c>
    </row>
    <row r="606" customFormat="false" ht="15" hidden="false" customHeight="false" outlineLevel="0" collapsed="false">
      <c r="A606" s="2" t="s">
        <v>20</v>
      </c>
      <c r="B606" s="2" t="n">
        <v>3</v>
      </c>
      <c r="C606" s="9" t="n">
        <v>46265</v>
      </c>
      <c r="D606" s="2" t="n">
        <v>4</v>
      </c>
      <c r="E606" s="2" t="s">
        <v>35</v>
      </c>
      <c r="F606" s="2" t="s">
        <v>36</v>
      </c>
      <c r="G606" s="2" t="s">
        <v>37</v>
      </c>
      <c r="H606" s="2" t="s">
        <v>38</v>
      </c>
      <c r="I606" s="2" t="s">
        <v>39</v>
      </c>
      <c r="J606" s="2" t="n">
        <v>8</v>
      </c>
      <c r="K606" s="32" t="s">
        <v>105</v>
      </c>
      <c r="L606" s="15" t="n">
        <f aca="false">SUM(V606:AB606)</f>
        <v>7.85398163397448E-005</v>
      </c>
      <c r="M606" s="15" t="n">
        <f aca="false">MAX(O606:U606)</f>
        <v>1</v>
      </c>
      <c r="N606" s="15" t="n">
        <f aca="false">COUNTIF(M606,"&gt;9.9")</f>
        <v>0</v>
      </c>
      <c r="O606" s="2" t="n">
        <v>1</v>
      </c>
      <c r="V606" s="15" t="n">
        <f aca="false">PI()*POWER((O606/200),2)</f>
        <v>7.85398163397448E-005</v>
      </c>
      <c r="W606" s="15" t="n">
        <f aca="false">PI()*POWER((P606/200),2)</f>
        <v>0</v>
      </c>
      <c r="X606" s="15" t="n">
        <f aca="false">PI()*POWER((Q606/200),2)</f>
        <v>0</v>
      </c>
      <c r="Y606" s="15" t="n">
        <f aca="false">PI()*POWER((R606/200),2)</f>
        <v>0</v>
      </c>
      <c r="Z606" s="15" t="n">
        <f aca="false">PI()*POWER((S606/200),2)</f>
        <v>0</v>
      </c>
      <c r="AA606" s="15" t="n">
        <f aca="false">PI()*POWER((T606/200),2)</f>
        <v>0</v>
      </c>
      <c r="AB606" s="15" t="n">
        <f aca="false">PI()*POWER((U606/200),2)</f>
        <v>0</v>
      </c>
    </row>
    <row r="607" customFormat="false" ht="15" hidden="false" customHeight="false" outlineLevel="0" collapsed="false">
      <c r="A607" s="2" t="s">
        <v>20</v>
      </c>
      <c r="B607" s="2" t="n">
        <v>3</v>
      </c>
      <c r="C607" s="9" t="n">
        <v>46265</v>
      </c>
      <c r="D607" s="2" t="n">
        <v>4</v>
      </c>
      <c r="E607" s="2" t="s">
        <v>35</v>
      </c>
      <c r="F607" s="2" t="s">
        <v>36</v>
      </c>
      <c r="G607" s="2" t="s">
        <v>37</v>
      </c>
      <c r="H607" s="2" t="s">
        <v>38</v>
      </c>
      <c r="I607" s="2" t="s">
        <v>39</v>
      </c>
      <c r="J607" s="2" t="n">
        <v>50</v>
      </c>
      <c r="K607" s="32" t="s">
        <v>105</v>
      </c>
      <c r="L607" s="15" t="n">
        <f aca="false">SUM(V607:AB607)</f>
        <v>9.16088417786784E-005</v>
      </c>
      <c r="M607" s="15" t="n">
        <f aca="false">MAX(O607:U607)</f>
        <v>1.08</v>
      </c>
      <c r="N607" s="15" t="n">
        <f aca="false">COUNTIF(M607,"&gt;9.9")</f>
        <v>0</v>
      </c>
      <c r="O607" s="2" t="n">
        <v>1.08</v>
      </c>
      <c r="V607" s="15" t="n">
        <f aca="false">PI()*POWER((O607/200),2)</f>
        <v>9.16088417786784E-005</v>
      </c>
      <c r="W607" s="15" t="n">
        <f aca="false">PI()*POWER((P607/200),2)</f>
        <v>0</v>
      </c>
      <c r="X607" s="15" t="n">
        <f aca="false">PI()*POWER((Q607/200),2)</f>
        <v>0</v>
      </c>
      <c r="Y607" s="15" t="n">
        <f aca="false">PI()*POWER((R607/200),2)</f>
        <v>0</v>
      </c>
      <c r="Z607" s="15" t="n">
        <f aca="false">PI()*POWER((S607/200),2)</f>
        <v>0</v>
      </c>
      <c r="AA607" s="15" t="n">
        <f aca="false">PI()*POWER((T607/200),2)</f>
        <v>0</v>
      </c>
      <c r="AB607" s="15" t="n">
        <f aca="false">PI()*POWER((U607/200),2)</f>
        <v>0</v>
      </c>
    </row>
    <row r="608" customFormat="false" ht="15" hidden="false" customHeight="false" outlineLevel="0" collapsed="false">
      <c r="A608" s="2" t="s">
        <v>20</v>
      </c>
      <c r="B608" s="2" t="n">
        <v>3</v>
      </c>
      <c r="C608" s="9" t="n">
        <v>46265</v>
      </c>
      <c r="D608" s="2" t="n">
        <v>4</v>
      </c>
      <c r="E608" s="2" t="s">
        <v>35</v>
      </c>
      <c r="F608" s="2" t="s">
        <v>36</v>
      </c>
      <c r="G608" s="2" t="s">
        <v>37</v>
      </c>
      <c r="H608" s="2" t="s">
        <v>38</v>
      </c>
      <c r="I608" s="2" t="s">
        <v>39</v>
      </c>
      <c r="J608" s="2" t="n">
        <v>17</v>
      </c>
      <c r="K608" s="32" t="s">
        <v>105</v>
      </c>
      <c r="L608" s="15" t="n">
        <f aca="false">SUM(V608:AB608)</f>
        <v>0.000176714586764426</v>
      </c>
      <c r="M608" s="15" t="n">
        <f aca="false">MAX(O608:U608)</f>
        <v>1.5</v>
      </c>
      <c r="N608" s="15" t="n">
        <f aca="false">COUNTIF(M608,"&gt;9.9")</f>
        <v>0</v>
      </c>
      <c r="O608" s="2" t="n">
        <v>1.5</v>
      </c>
      <c r="V608" s="15" t="n">
        <f aca="false">PI()*POWER((O608/200),2)</f>
        <v>0.000176714586764426</v>
      </c>
      <c r="W608" s="15" t="n">
        <f aca="false">PI()*POWER((P608/200),2)</f>
        <v>0</v>
      </c>
      <c r="X608" s="15" t="n">
        <f aca="false">PI()*POWER((Q608/200),2)</f>
        <v>0</v>
      </c>
      <c r="Y608" s="15" t="n">
        <f aca="false">PI()*POWER((R608/200),2)</f>
        <v>0</v>
      </c>
      <c r="Z608" s="15" t="n">
        <f aca="false">PI()*POWER((S608/200),2)</f>
        <v>0</v>
      </c>
      <c r="AA608" s="15" t="n">
        <f aca="false">PI()*POWER((T608/200),2)</f>
        <v>0</v>
      </c>
      <c r="AB608" s="15" t="n">
        <f aca="false">PI()*POWER((U608/200),2)</f>
        <v>0</v>
      </c>
    </row>
    <row r="609" customFormat="false" ht="15" hidden="false" customHeight="false" outlineLevel="0" collapsed="false">
      <c r="A609" s="2" t="s">
        <v>20</v>
      </c>
      <c r="B609" s="2" t="n">
        <v>3</v>
      </c>
      <c r="C609" s="9" t="n">
        <v>46265</v>
      </c>
      <c r="D609" s="2" t="n">
        <v>4</v>
      </c>
      <c r="E609" s="2" t="s">
        <v>35</v>
      </c>
      <c r="F609" s="2" t="s">
        <v>36</v>
      </c>
      <c r="G609" s="2" t="s">
        <v>37</v>
      </c>
      <c r="H609" s="2" t="s">
        <v>38</v>
      </c>
      <c r="I609" s="2" t="s">
        <v>39</v>
      </c>
      <c r="J609" s="2" t="n">
        <v>48</v>
      </c>
      <c r="K609" s="32" t="s">
        <v>105</v>
      </c>
      <c r="L609" s="15" t="n">
        <f aca="false">SUM(V609:AB609)</f>
        <v>0.000176714586764426</v>
      </c>
      <c r="M609" s="15" t="n">
        <f aca="false">MAX(O609:U609)</f>
        <v>1.5</v>
      </c>
      <c r="N609" s="15" t="n">
        <f aca="false">COUNTIF(M609,"&gt;9.9")</f>
        <v>0</v>
      </c>
      <c r="O609" s="2" t="n">
        <v>1.5</v>
      </c>
      <c r="V609" s="15" t="n">
        <f aca="false">PI()*POWER((O609/200),2)</f>
        <v>0.000176714586764426</v>
      </c>
      <c r="W609" s="15" t="n">
        <f aca="false">PI()*POWER((P609/200),2)</f>
        <v>0</v>
      </c>
      <c r="X609" s="15" t="n">
        <f aca="false">PI()*POWER((Q609/200),2)</f>
        <v>0</v>
      </c>
      <c r="Y609" s="15" t="n">
        <f aca="false">PI()*POWER((R609/200),2)</f>
        <v>0</v>
      </c>
      <c r="Z609" s="15" t="n">
        <f aca="false">PI()*POWER((S609/200),2)</f>
        <v>0</v>
      </c>
      <c r="AA609" s="15" t="n">
        <f aca="false">PI()*POWER((T609/200),2)</f>
        <v>0</v>
      </c>
      <c r="AB609" s="15" t="n">
        <f aca="false">PI()*POWER((U609/200),2)</f>
        <v>0</v>
      </c>
    </row>
    <row r="610" customFormat="false" ht="15" hidden="false" customHeight="false" outlineLevel="0" collapsed="false">
      <c r="A610" s="2" t="s">
        <v>20</v>
      </c>
      <c r="B610" s="2" t="n">
        <v>3</v>
      </c>
      <c r="C610" s="9" t="n">
        <v>46265</v>
      </c>
      <c r="D610" s="2" t="n">
        <v>4</v>
      </c>
      <c r="E610" s="2" t="s">
        <v>35</v>
      </c>
      <c r="F610" s="2" t="s">
        <v>36</v>
      </c>
      <c r="G610" s="2" t="s">
        <v>37</v>
      </c>
      <c r="H610" s="2" t="s">
        <v>38</v>
      </c>
      <c r="I610" s="2" t="s">
        <v>39</v>
      </c>
      <c r="J610" s="2" t="n">
        <v>53</v>
      </c>
      <c r="K610" s="32" t="s">
        <v>105</v>
      </c>
      <c r="L610" s="15" t="n">
        <f aca="false">SUM(V610:AB610)</f>
        <v>0.000530929158456675</v>
      </c>
      <c r="M610" s="15" t="n">
        <f aca="false">MAX(O610:U610)</f>
        <v>2.6</v>
      </c>
      <c r="N610" s="15" t="n">
        <f aca="false">COUNTIF(M610,"&gt;9.9")</f>
        <v>0</v>
      </c>
      <c r="O610" s="2" t="n">
        <v>2.6</v>
      </c>
      <c r="V610" s="15" t="n">
        <f aca="false">PI()*POWER((O610/200),2)</f>
        <v>0.000530929158456675</v>
      </c>
      <c r="W610" s="15" t="n">
        <f aca="false">PI()*POWER((P610/200),2)</f>
        <v>0</v>
      </c>
      <c r="X610" s="15" t="n">
        <f aca="false">PI()*POWER((Q610/200),2)</f>
        <v>0</v>
      </c>
      <c r="Y610" s="15" t="n">
        <f aca="false">PI()*POWER((R610/200),2)</f>
        <v>0</v>
      </c>
      <c r="Z610" s="15" t="n">
        <f aca="false">PI()*POWER((S610/200),2)</f>
        <v>0</v>
      </c>
      <c r="AA610" s="15" t="n">
        <f aca="false">PI()*POWER((T610/200),2)</f>
        <v>0</v>
      </c>
      <c r="AB610" s="15" t="n">
        <f aca="false">PI()*POWER((U610/200),2)</f>
        <v>0</v>
      </c>
    </row>
    <row r="611" customFormat="false" ht="15" hidden="false" customHeight="false" outlineLevel="0" collapsed="false">
      <c r="A611" s="2" t="s">
        <v>20</v>
      </c>
      <c r="B611" s="2" t="n">
        <v>3</v>
      </c>
      <c r="C611" s="9" t="n">
        <v>46265</v>
      </c>
      <c r="D611" s="2" t="n">
        <v>4</v>
      </c>
      <c r="E611" s="2" t="s">
        <v>35</v>
      </c>
      <c r="F611" s="2" t="s">
        <v>36</v>
      </c>
      <c r="G611" s="2" t="s">
        <v>37</v>
      </c>
      <c r="H611" s="2" t="s">
        <v>38</v>
      </c>
      <c r="I611" s="2" t="s">
        <v>39</v>
      </c>
      <c r="J611" s="2" t="n">
        <v>40</v>
      </c>
      <c r="K611" s="32" t="s">
        <v>105</v>
      </c>
      <c r="L611" s="15" t="n">
        <f aca="false">SUM(V611:AB611)</f>
        <v>0.00057255526111674</v>
      </c>
      <c r="M611" s="15" t="n">
        <f aca="false">MAX(O611:U611)</f>
        <v>2.7</v>
      </c>
      <c r="N611" s="15" t="n">
        <f aca="false">COUNTIF(M611,"&gt;9.9")</f>
        <v>0</v>
      </c>
      <c r="O611" s="2" t="n">
        <v>2.7</v>
      </c>
      <c r="V611" s="15" t="n">
        <f aca="false">PI()*POWER((O611/200),2)</f>
        <v>0.00057255526111674</v>
      </c>
      <c r="W611" s="15" t="n">
        <f aca="false">PI()*POWER((P611/200),2)</f>
        <v>0</v>
      </c>
      <c r="X611" s="15" t="n">
        <f aca="false">PI()*POWER((Q611/200),2)</f>
        <v>0</v>
      </c>
      <c r="Y611" s="15" t="n">
        <f aca="false">PI()*POWER((R611/200),2)</f>
        <v>0</v>
      </c>
      <c r="Z611" s="15" t="n">
        <f aca="false">PI()*POWER((S611/200),2)</f>
        <v>0</v>
      </c>
      <c r="AA611" s="15" t="n">
        <f aca="false">PI()*POWER((T611/200),2)</f>
        <v>0</v>
      </c>
      <c r="AB611" s="15" t="n">
        <f aca="false">PI()*POWER((U611/200),2)</f>
        <v>0</v>
      </c>
    </row>
    <row r="612" customFormat="false" ht="15" hidden="false" customHeight="false" outlineLevel="0" collapsed="false">
      <c r="A612" s="2" t="s">
        <v>20</v>
      </c>
      <c r="B612" s="2" t="n">
        <v>3</v>
      </c>
      <c r="C612" s="9" t="n">
        <v>46265</v>
      </c>
      <c r="D612" s="2" t="n">
        <v>4</v>
      </c>
      <c r="E612" s="2" t="s">
        <v>35</v>
      </c>
      <c r="F612" s="2" t="s">
        <v>36</v>
      </c>
      <c r="G612" s="2" t="s">
        <v>37</v>
      </c>
      <c r="H612" s="2" t="s">
        <v>38</v>
      </c>
      <c r="I612" s="2" t="s">
        <v>39</v>
      </c>
      <c r="J612" s="2" t="n">
        <v>4</v>
      </c>
      <c r="K612" s="32" t="s">
        <v>105</v>
      </c>
      <c r="L612" s="15" t="n">
        <f aca="false">SUM(V612:AB612)</f>
        <v>0.000706858347057703</v>
      </c>
      <c r="M612" s="15" t="n">
        <f aca="false">MAX(O612:U612)</f>
        <v>3</v>
      </c>
      <c r="N612" s="15" t="n">
        <f aca="false">COUNTIF(M612,"&gt;9.9")</f>
        <v>0</v>
      </c>
      <c r="O612" s="2" t="n">
        <v>3</v>
      </c>
      <c r="V612" s="15" t="n">
        <f aca="false">PI()*POWER((O612/200),2)</f>
        <v>0.000706858347057703</v>
      </c>
      <c r="W612" s="15" t="n">
        <f aca="false">PI()*POWER((P612/200),2)</f>
        <v>0</v>
      </c>
      <c r="X612" s="15" t="n">
        <f aca="false">PI()*POWER((Q612/200),2)</f>
        <v>0</v>
      </c>
      <c r="Y612" s="15" t="n">
        <f aca="false">PI()*POWER((R612/200),2)</f>
        <v>0</v>
      </c>
      <c r="Z612" s="15" t="n">
        <f aca="false">PI()*POWER((S612/200),2)</f>
        <v>0</v>
      </c>
      <c r="AA612" s="15" t="n">
        <f aca="false">PI()*POWER((T612/200),2)</f>
        <v>0</v>
      </c>
      <c r="AB612" s="15" t="n">
        <f aca="false">PI()*POWER((U612/200),2)</f>
        <v>0</v>
      </c>
    </row>
    <row r="613" customFormat="false" ht="15" hidden="false" customHeight="false" outlineLevel="0" collapsed="false">
      <c r="A613" s="2" t="s">
        <v>20</v>
      </c>
      <c r="B613" s="2" t="n">
        <v>3</v>
      </c>
      <c r="C613" s="9" t="n">
        <v>46265</v>
      </c>
      <c r="D613" s="2" t="n">
        <v>4</v>
      </c>
      <c r="E613" s="2" t="s">
        <v>35</v>
      </c>
      <c r="F613" s="2" t="s">
        <v>36</v>
      </c>
      <c r="G613" s="2" t="s">
        <v>37</v>
      </c>
      <c r="H613" s="2" t="s">
        <v>38</v>
      </c>
      <c r="I613" s="2" t="s">
        <v>39</v>
      </c>
      <c r="J613" s="2" t="n">
        <v>55</v>
      </c>
      <c r="K613" s="32" t="s">
        <v>105</v>
      </c>
      <c r="L613" s="15" t="n">
        <f aca="false">SUM(V613:AB613)</f>
        <v>0.000754767635024948</v>
      </c>
      <c r="M613" s="15" t="n">
        <f aca="false">MAX(O613:U613)</f>
        <v>3.1</v>
      </c>
      <c r="N613" s="15" t="n">
        <f aca="false">COUNTIF(M613,"&gt;9.9")</f>
        <v>0</v>
      </c>
      <c r="O613" s="2" t="n">
        <v>3.1</v>
      </c>
      <c r="V613" s="15" t="n">
        <f aca="false">PI()*POWER((O613/200),2)</f>
        <v>0.000754767635024948</v>
      </c>
      <c r="W613" s="15" t="n">
        <f aca="false">PI()*POWER((P613/200),2)</f>
        <v>0</v>
      </c>
      <c r="X613" s="15" t="n">
        <f aca="false">PI()*POWER((Q613/200),2)</f>
        <v>0</v>
      </c>
      <c r="Y613" s="15" t="n">
        <f aca="false">PI()*POWER((R613/200),2)</f>
        <v>0</v>
      </c>
      <c r="Z613" s="15" t="n">
        <f aca="false">PI()*POWER((S613/200),2)</f>
        <v>0</v>
      </c>
      <c r="AA613" s="15" t="n">
        <f aca="false">PI()*POWER((T613/200),2)</f>
        <v>0</v>
      </c>
      <c r="AB613" s="15" t="n">
        <f aca="false">PI()*POWER((U613/200),2)</f>
        <v>0</v>
      </c>
    </row>
    <row r="614" customFormat="false" ht="15" hidden="false" customHeight="false" outlineLevel="0" collapsed="false">
      <c r="A614" s="2" t="s">
        <v>20</v>
      </c>
      <c r="B614" s="2" t="n">
        <v>3</v>
      </c>
      <c r="C614" s="9" t="n">
        <v>46265</v>
      </c>
      <c r="D614" s="2" t="n">
        <v>4</v>
      </c>
      <c r="E614" s="2" t="s">
        <v>35</v>
      </c>
      <c r="F614" s="2" t="s">
        <v>36</v>
      </c>
      <c r="G614" s="2" t="s">
        <v>37</v>
      </c>
      <c r="H614" s="2" t="s">
        <v>38</v>
      </c>
      <c r="I614" s="2" t="s">
        <v>39</v>
      </c>
      <c r="J614" s="2" t="n">
        <v>12</v>
      </c>
      <c r="K614" s="32" t="s">
        <v>105</v>
      </c>
      <c r="L614" s="15" t="n">
        <f aca="false">SUM(V614:AB614)</f>
        <v>0.000804247719318987</v>
      </c>
      <c r="M614" s="15" t="n">
        <f aca="false">MAX(O614:U614)</f>
        <v>3.2</v>
      </c>
      <c r="N614" s="15" t="n">
        <f aca="false">COUNTIF(M614,"&gt;9.9")</f>
        <v>0</v>
      </c>
      <c r="O614" s="2" t="n">
        <v>3.2</v>
      </c>
      <c r="V614" s="15" t="n">
        <f aca="false">PI()*POWER((O614/200),2)</f>
        <v>0.000804247719318987</v>
      </c>
      <c r="W614" s="15" t="n">
        <f aca="false">PI()*POWER((P614/200),2)</f>
        <v>0</v>
      </c>
      <c r="X614" s="15" t="n">
        <f aca="false">PI()*POWER((Q614/200),2)</f>
        <v>0</v>
      </c>
      <c r="Y614" s="15" t="n">
        <f aca="false">PI()*POWER((R614/200),2)</f>
        <v>0</v>
      </c>
      <c r="Z614" s="15" t="n">
        <f aca="false">PI()*POWER((S614/200),2)</f>
        <v>0</v>
      </c>
      <c r="AA614" s="15" t="n">
        <f aca="false">PI()*POWER((T614/200),2)</f>
        <v>0</v>
      </c>
      <c r="AB614" s="15" t="n">
        <f aca="false">PI()*POWER((U614/200),2)</f>
        <v>0</v>
      </c>
    </row>
    <row r="615" customFormat="false" ht="15" hidden="false" customHeight="false" outlineLevel="0" collapsed="false">
      <c r="A615" s="2" t="s">
        <v>20</v>
      </c>
      <c r="B615" s="2" t="n">
        <v>3</v>
      </c>
      <c r="C615" s="9" t="n">
        <v>46265</v>
      </c>
      <c r="D615" s="2" t="n">
        <v>4</v>
      </c>
      <c r="E615" s="2" t="s">
        <v>35</v>
      </c>
      <c r="F615" s="2" t="s">
        <v>36</v>
      </c>
      <c r="G615" s="2" t="s">
        <v>37</v>
      </c>
      <c r="H615" s="2" t="s">
        <v>38</v>
      </c>
      <c r="I615" s="2" t="s">
        <v>39</v>
      </c>
      <c r="J615" s="2" t="n">
        <v>25</v>
      </c>
      <c r="K615" s="32" t="s">
        <v>105</v>
      </c>
      <c r="L615" s="15" t="n">
        <f aca="false">SUM(V615:AB615)</f>
        <v>0.00113411494794592</v>
      </c>
      <c r="M615" s="15" t="n">
        <f aca="false">MAX(O615:U615)</f>
        <v>3.8</v>
      </c>
      <c r="N615" s="15" t="n">
        <f aca="false">COUNTIF(M615,"&gt;9.9")</f>
        <v>0</v>
      </c>
      <c r="O615" s="2" t="n">
        <v>3.8</v>
      </c>
      <c r="V615" s="15" t="n">
        <f aca="false">PI()*POWER((O615/200),2)</f>
        <v>0.00113411494794592</v>
      </c>
      <c r="W615" s="15" t="n">
        <f aca="false">PI()*POWER((P615/200),2)</f>
        <v>0</v>
      </c>
      <c r="X615" s="15" t="n">
        <f aca="false">PI()*POWER((Q615/200),2)</f>
        <v>0</v>
      </c>
      <c r="Y615" s="15" t="n">
        <f aca="false">PI()*POWER((R615/200),2)</f>
        <v>0</v>
      </c>
      <c r="Z615" s="15" t="n">
        <f aca="false">PI()*POWER((S615/200),2)</f>
        <v>0</v>
      </c>
      <c r="AA615" s="15" t="n">
        <f aca="false">PI()*POWER((T615/200),2)</f>
        <v>0</v>
      </c>
      <c r="AB615" s="15" t="n">
        <f aca="false">PI()*POWER((U615/200),2)</f>
        <v>0</v>
      </c>
    </row>
    <row r="616" customFormat="false" ht="15" hidden="false" customHeight="false" outlineLevel="0" collapsed="false">
      <c r="A616" s="2" t="s">
        <v>20</v>
      </c>
      <c r="B616" s="2" t="n">
        <v>3</v>
      </c>
      <c r="C616" s="9" t="n">
        <v>46265</v>
      </c>
      <c r="D616" s="2" t="n">
        <v>4</v>
      </c>
      <c r="E616" s="2" t="s">
        <v>35</v>
      </c>
      <c r="F616" s="2" t="s">
        <v>36</v>
      </c>
      <c r="G616" s="2" t="s">
        <v>37</v>
      </c>
      <c r="H616" s="2" t="s">
        <v>38</v>
      </c>
      <c r="I616" s="2" t="s">
        <v>39</v>
      </c>
      <c r="J616" s="2" t="n">
        <v>5</v>
      </c>
      <c r="K616" s="32" t="s">
        <v>105</v>
      </c>
      <c r="L616" s="15" t="n">
        <f aca="false">SUM(V616:AB616)</f>
        <v>0.00125663706143592</v>
      </c>
      <c r="M616" s="15" t="n">
        <f aca="false">MAX(O616:U616)</f>
        <v>4</v>
      </c>
      <c r="N616" s="15" t="n">
        <f aca="false">COUNTIF(M616,"&gt;9.9")</f>
        <v>0</v>
      </c>
      <c r="O616" s="2" t="n">
        <v>4</v>
      </c>
      <c r="V616" s="15" t="n">
        <f aca="false">PI()*POWER((O616/200),2)</f>
        <v>0.00125663706143592</v>
      </c>
      <c r="W616" s="15" t="n">
        <f aca="false">PI()*POWER((P616/200),2)</f>
        <v>0</v>
      </c>
      <c r="X616" s="15" t="n">
        <f aca="false">PI()*POWER((Q616/200),2)</f>
        <v>0</v>
      </c>
      <c r="Y616" s="15" t="n">
        <f aca="false">PI()*POWER((R616/200),2)</f>
        <v>0</v>
      </c>
      <c r="Z616" s="15" t="n">
        <f aca="false">PI()*POWER((S616/200),2)</f>
        <v>0</v>
      </c>
      <c r="AA616" s="15" t="n">
        <f aca="false">PI()*POWER((T616/200),2)</f>
        <v>0</v>
      </c>
      <c r="AB616" s="15" t="n">
        <f aca="false">PI()*POWER((U616/200),2)</f>
        <v>0</v>
      </c>
    </row>
    <row r="617" customFormat="false" ht="15" hidden="false" customHeight="false" outlineLevel="0" collapsed="false">
      <c r="A617" s="2" t="s">
        <v>20</v>
      </c>
      <c r="B617" s="2" t="n">
        <v>3</v>
      </c>
      <c r="C617" s="9" t="n">
        <v>46265</v>
      </c>
      <c r="D617" s="2" t="n">
        <v>4</v>
      </c>
      <c r="E617" s="2" t="s">
        <v>35</v>
      </c>
      <c r="F617" s="2" t="s">
        <v>36</v>
      </c>
      <c r="G617" s="2" t="s">
        <v>37</v>
      </c>
      <c r="H617" s="2" t="s">
        <v>38</v>
      </c>
      <c r="I617" s="2" t="s">
        <v>39</v>
      </c>
      <c r="J617" s="2" t="n">
        <v>22</v>
      </c>
      <c r="K617" s="32" t="s">
        <v>105</v>
      </c>
      <c r="L617" s="15" t="n">
        <f aca="false">SUM(V617:AB617)</f>
        <v>0.00180955736846772</v>
      </c>
      <c r="M617" s="15" t="n">
        <f aca="false">MAX(O617:U617)</f>
        <v>4.8</v>
      </c>
      <c r="N617" s="15" t="n">
        <f aca="false">COUNTIF(M617,"&gt;9.9")</f>
        <v>0</v>
      </c>
      <c r="O617" s="2" t="n">
        <v>4.8</v>
      </c>
      <c r="V617" s="15" t="n">
        <f aca="false">PI()*POWER((O617/200),2)</f>
        <v>0.00180955736846772</v>
      </c>
      <c r="W617" s="15" t="n">
        <f aca="false">PI()*POWER((P617/200),2)</f>
        <v>0</v>
      </c>
      <c r="X617" s="15" t="n">
        <f aca="false">PI()*POWER((Q617/200),2)</f>
        <v>0</v>
      </c>
      <c r="Y617" s="15" t="n">
        <f aca="false">PI()*POWER((R617/200),2)</f>
        <v>0</v>
      </c>
      <c r="Z617" s="15" t="n">
        <f aca="false">PI()*POWER((S617/200),2)</f>
        <v>0</v>
      </c>
      <c r="AA617" s="15" t="n">
        <f aca="false">PI()*POWER((T617/200),2)</f>
        <v>0</v>
      </c>
      <c r="AB617" s="15" t="n">
        <f aca="false">PI()*POWER((U617/200),2)</f>
        <v>0</v>
      </c>
    </row>
    <row r="618" customFormat="false" ht="15" hidden="false" customHeight="false" outlineLevel="0" collapsed="false">
      <c r="A618" s="2" t="s">
        <v>20</v>
      </c>
      <c r="B618" s="2" t="n">
        <v>3</v>
      </c>
      <c r="C618" s="9" t="n">
        <v>46265</v>
      </c>
      <c r="D618" s="2" t="n">
        <v>4</v>
      </c>
      <c r="E618" s="2" t="s">
        <v>35</v>
      </c>
      <c r="F618" s="2" t="s">
        <v>36</v>
      </c>
      <c r="G618" s="2" t="s">
        <v>37</v>
      </c>
      <c r="H618" s="2" t="s">
        <v>38</v>
      </c>
      <c r="I618" s="2" t="s">
        <v>39</v>
      </c>
      <c r="J618" s="2" t="n">
        <v>30</v>
      </c>
      <c r="K618" s="32" t="s">
        <v>105</v>
      </c>
      <c r="L618" s="15" t="n">
        <f aca="false">SUM(V618:AB618)</f>
        <v>0.00196349540849362</v>
      </c>
      <c r="M618" s="15" t="n">
        <f aca="false">MAX(O618:U618)</f>
        <v>5</v>
      </c>
      <c r="N618" s="15" t="n">
        <f aca="false">COUNTIF(M618,"&gt;9.9")</f>
        <v>0</v>
      </c>
      <c r="O618" s="2" t="n">
        <v>5</v>
      </c>
      <c r="V618" s="15" t="n">
        <f aca="false">PI()*POWER((O618/200),2)</f>
        <v>0.00196349540849362</v>
      </c>
      <c r="W618" s="15" t="n">
        <f aca="false">PI()*POWER((P618/200),2)</f>
        <v>0</v>
      </c>
      <c r="X618" s="15" t="n">
        <f aca="false">PI()*POWER((Q618/200),2)</f>
        <v>0</v>
      </c>
      <c r="Y618" s="15" t="n">
        <f aca="false">PI()*POWER((R618/200),2)</f>
        <v>0</v>
      </c>
      <c r="Z618" s="15" t="n">
        <f aca="false">PI()*POWER((S618/200),2)</f>
        <v>0</v>
      </c>
      <c r="AA618" s="15" t="n">
        <f aca="false">PI()*POWER((T618/200),2)</f>
        <v>0</v>
      </c>
      <c r="AB618" s="15" t="n">
        <f aca="false">PI()*POWER((U618/200),2)</f>
        <v>0</v>
      </c>
    </row>
    <row r="619" customFormat="false" ht="15" hidden="false" customHeight="false" outlineLevel="0" collapsed="false">
      <c r="A619" s="2" t="s">
        <v>20</v>
      </c>
      <c r="B619" s="2" t="n">
        <v>3</v>
      </c>
      <c r="C619" s="9" t="n">
        <v>46265</v>
      </c>
      <c r="D619" s="2" t="n">
        <v>4</v>
      </c>
      <c r="E619" s="2" t="s">
        <v>35</v>
      </c>
      <c r="F619" s="2" t="s">
        <v>36</v>
      </c>
      <c r="G619" s="2" t="s">
        <v>37</v>
      </c>
      <c r="H619" s="2" t="s">
        <v>38</v>
      </c>
      <c r="I619" s="2" t="s">
        <v>39</v>
      </c>
      <c r="J619" s="2" t="n">
        <v>56</v>
      </c>
      <c r="K619" s="32" t="s">
        <v>105</v>
      </c>
      <c r="L619" s="15" t="n">
        <f aca="false">SUM(V619:AB619)</f>
        <v>0.00204282062299676</v>
      </c>
      <c r="M619" s="15" t="n">
        <f aca="false">MAX(O619:U619)</f>
        <v>5.1</v>
      </c>
      <c r="N619" s="15" t="n">
        <f aca="false">COUNTIF(M619,"&gt;9.9")</f>
        <v>0</v>
      </c>
      <c r="O619" s="2" t="n">
        <v>5.1</v>
      </c>
      <c r="V619" s="15" t="n">
        <f aca="false">PI()*POWER((O619/200),2)</f>
        <v>0.00204282062299676</v>
      </c>
      <c r="W619" s="15" t="n">
        <f aca="false">PI()*POWER((P619/200),2)</f>
        <v>0</v>
      </c>
      <c r="X619" s="15" t="n">
        <f aca="false">PI()*POWER((Q619/200),2)</f>
        <v>0</v>
      </c>
      <c r="Y619" s="15" t="n">
        <f aca="false">PI()*POWER((R619/200),2)</f>
        <v>0</v>
      </c>
      <c r="Z619" s="15" t="n">
        <f aca="false">PI()*POWER((S619/200),2)</f>
        <v>0</v>
      </c>
      <c r="AA619" s="15" t="n">
        <f aca="false">PI()*POWER((T619/200),2)</f>
        <v>0</v>
      </c>
      <c r="AB619" s="15" t="n">
        <f aca="false">PI()*POWER((U619/200),2)</f>
        <v>0</v>
      </c>
    </row>
    <row r="620" customFormat="false" ht="15" hidden="false" customHeight="false" outlineLevel="0" collapsed="false">
      <c r="A620" s="2" t="s">
        <v>20</v>
      </c>
      <c r="B620" s="2" t="n">
        <v>3</v>
      </c>
      <c r="C620" s="9" t="n">
        <v>46265</v>
      </c>
      <c r="D620" s="2" t="n">
        <v>4</v>
      </c>
      <c r="E620" s="2" t="s">
        <v>35</v>
      </c>
      <c r="F620" s="2" t="s">
        <v>36</v>
      </c>
      <c r="G620" s="2" t="s">
        <v>37</v>
      </c>
      <c r="H620" s="2" t="s">
        <v>38</v>
      </c>
      <c r="I620" s="2" t="s">
        <v>39</v>
      </c>
      <c r="J620" s="2" t="n">
        <v>13</v>
      </c>
      <c r="K620" s="32" t="s">
        <v>105</v>
      </c>
      <c r="L620" s="15" t="n">
        <f aca="false">SUM(V620:AB620)</f>
        <v>0.0021237166338267</v>
      </c>
      <c r="M620" s="15" t="n">
        <f aca="false">MAX(O620:U620)</f>
        <v>5.2</v>
      </c>
      <c r="N620" s="15" t="n">
        <f aca="false">COUNTIF(M620,"&gt;9.9")</f>
        <v>0</v>
      </c>
      <c r="O620" s="2" t="n">
        <v>5.2</v>
      </c>
      <c r="V620" s="15" t="n">
        <f aca="false">PI()*POWER((O620/200),2)</f>
        <v>0.0021237166338267</v>
      </c>
      <c r="W620" s="15" t="n">
        <f aca="false">PI()*POWER((P620/200),2)</f>
        <v>0</v>
      </c>
      <c r="X620" s="15" t="n">
        <f aca="false">PI()*POWER((Q620/200),2)</f>
        <v>0</v>
      </c>
      <c r="Y620" s="15" t="n">
        <f aca="false">PI()*POWER((R620/200),2)</f>
        <v>0</v>
      </c>
      <c r="Z620" s="15" t="n">
        <f aca="false">PI()*POWER((S620/200),2)</f>
        <v>0</v>
      </c>
      <c r="AA620" s="15" t="n">
        <f aca="false">PI()*POWER((T620/200),2)</f>
        <v>0</v>
      </c>
      <c r="AB620" s="15" t="n">
        <f aca="false">PI()*POWER((U620/200),2)</f>
        <v>0</v>
      </c>
    </row>
    <row r="621" customFormat="false" ht="15" hidden="false" customHeight="false" outlineLevel="0" collapsed="false">
      <c r="A621" s="2" t="s">
        <v>20</v>
      </c>
      <c r="B621" s="2" t="n">
        <v>3</v>
      </c>
      <c r="C621" s="9" t="n">
        <v>46265</v>
      </c>
      <c r="D621" s="2" t="n">
        <v>4</v>
      </c>
      <c r="E621" s="2" t="s">
        <v>35</v>
      </c>
      <c r="F621" s="2" t="s">
        <v>36</v>
      </c>
      <c r="G621" s="2" t="s">
        <v>37</v>
      </c>
      <c r="H621" s="2" t="s">
        <v>38</v>
      </c>
      <c r="I621" s="2" t="s">
        <v>39</v>
      </c>
      <c r="J621" s="2" t="n">
        <v>23</v>
      </c>
      <c r="K621" s="32" t="s">
        <v>105</v>
      </c>
      <c r="L621" s="15" t="n">
        <f aca="false">SUM(V621:AB621)</f>
        <v>0.00240724537081318</v>
      </c>
      <c r="M621" s="15" t="n">
        <f aca="false">MAX(O621:U621)</f>
        <v>5.2</v>
      </c>
      <c r="N621" s="15" t="n">
        <f aca="false">COUNTIF(M621,"&gt;9.9")</f>
        <v>0</v>
      </c>
      <c r="O621" s="2" t="n">
        <v>5.2</v>
      </c>
      <c r="P621" s="2" t="n">
        <v>1.9</v>
      </c>
      <c r="V621" s="15" t="n">
        <f aca="false">PI()*POWER((O621/200),2)</f>
        <v>0.0021237166338267</v>
      </c>
      <c r="W621" s="15" t="n">
        <f aca="false">PI()*POWER((P621/200),2)</f>
        <v>0.000283528736986479</v>
      </c>
      <c r="X621" s="15" t="n">
        <f aca="false">PI()*POWER((Q621/200),2)</f>
        <v>0</v>
      </c>
      <c r="Y621" s="15" t="n">
        <f aca="false">PI()*POWER((R621/200),2)</f>
        <v>0</v>
      </c>
      <c r="Z621" s="15" t="n">
        <f aca="false">PI()*POWER((S621/200),2)</f>
        <v>0</v>
      </c>
      <c r="AA621" s="15" t="n">
        <f aca="false">PI()*POWER((T621/200),2)</f>
        <v>0</v>
      </c>
      <c r="AB621" s="15" t="n">
        <f aca="false">PI()*POWER((U621/200),2)</f>
        <v>0</v>
      </c>
    </row>
    <row r="622" customFormat="false" ht="15" hidden="false" customHeight="false" outlineLevel="0" collapsed="false">
      <c r="A622" s="2" t="s">
        <v>20</v>
      </c>
      <c r="B622" s="2" t="n">
        <v>3</v>
      </c>
      <c r="C622" s="9" t="n">
        <v>46265</v>
      </c>
      <c r="D622" s="2" t="n">
        <v>4</v>
      </c>
      <c r="E622" s="2" t="s">
        <v>35</v>
      </c>
      <c r="F622" s="2" t="s">
        <v>36</v>
      </c>
      <c r="G622" s="2" t="s">
        <v>37</v>
      </c>
      <c r="H622" s="2" t="s">
        <v>38</v>
      </c>
      <c r="I622" s="2" t="s">
        <v>39</v>
      </c>
      <c r="J622" s="2" t="n">
        <v>28</v>
      </c>
      <c r="K622" s="32" t="s">
        <v>105</v>
      </c>
      <c r="L622" s="15" t="n">
        <f aca="false">SUM(V622:AB622)</f>
        <v>0.00255175863287831</v>
      </c>
      <c r="M622" s="15" t="n">
        <f aca="false">MAX(O622:U622)</f>
        <v>5.7</v>
      </c>
      <c r="N622" s="15" t="n">
        <f aca="false">COUNTIF(M622,"&gt;9.9")</f>
        <v>0</v>
      </c>
      <c r="O622" s="2" t="n">
        <v>5.7</v>
      </c>
      <c r="V622" s="15" t="n">
        <f aca="false">PI()*POWER((O622/200),2)</f>
        <v>0.00255175863287831</v>
      </c>
      <c r="W622" s="15" t="n">
        <f aca="false">PI()*POWER((P622/200),2)</f>
        <v>0</v>
      </c>
      <c r="X622" s="15" t="n">
        <f aca="false">PI()*POWER((Q622/200),2)</f>
        <v>0</v>
      </c>
      <c r="Y622" s="15" t="n">
        <f aca="false">PI()*POWER((R622/200),2)</f>
        <v>0</v>
      </c>
      <c r="Z622" s="15" t="n">
        <f aca="false">PI()*POWER((S622/200),2)</f>
        <v>0</v>
      </c>
      <c r="AA622" s="15" t="n">
        <f aca="false">PI()*POWER((T622/200),2)</f>
        <v>0</v>
      </c>
      <c r="AB622" s="15" t="n">
        <f aca="false">PI()*POWER((U622/200),2)</f>
        <v>0</v>
      </c>
    </row>
    <row r="623" customFormat="false" ht="15" hidden="false" customHeight="false" outlineLevel="0" collapsed="false">
      <c r="A623" s="2" t="s">
        <v>20</v>
      </c>
      <c r="B623" s="2" t="n">
        <v>3</v>
      </c>
      <c r="C623" s="9" t="n">
        <v>46265</v>
      </c>
      <c r="D623" s="2" t="n">
        <v>4</v>
      </c>
      <c r="E623" s="2" t="s">
        <v>35</v>
      </c>
      <c r="F623" s="2" t="s">
        <v>36</v>
      </c>
      <c r="G623" s="2" t="s">
        <v>37</v>
      </c>
      <c r="H623" s="2" t="s">
        <v>38</v>
      </c>
      <c r="I623" s="2" t="s">
        <v>39</v>
      </c>
      <c r="J623" s="2" t="n">
        <v>2</v>
      </c>
      <c r="K623" s="32" t="s">
        <v>105</v>
      </c>
      <c r="L623" s="15" t="n">
        <f aca="false">SUM(V623:AB623)</f>
        <v>0.00264207942166902</v>
      </c>
      <c r="M623" s="15" t="n">
        <f aca="false">MAX(O623:U623)</f>
        <v>5.8</v>
      </c>
      <c r="N623" s="15" t="n">
        <f aca="false">COUNTIF(M623,"&gt;9.9")</f>
        <v>0</v>
      </c>
      <c r="O623" s="2" t="n">
        <v>5.8</v>
      </c>
      <c r="V623" s="15" t="n">
        <f aca="false">PI()*POWER((O623/200),2)</f>
        <v>0.00264207942166902</v>
      </c>
      <c r="W623" s="15" t="n">
        <f aca="false">PI()*POWER((P623/200),2)</f>
        <v>0</v>
      </c>
      <c r="X623" s="15" t="n">
        <f aca="false">PI()*POWER((Q623/200),2)</f>
        <v>0</v>
      </c>
      <c r="Y623" s="15" t="n">
        <f aca="false">PI()*POWER((R623/200),2)</f>
        <v>0</v>
      </c>
      <c r="Z623" s="15" t="n">
        <f aca="false">PI()*POWER((S623/200),2)</f>
        <v>0</v>
      </c>
      <c r="AA623" s="15" t="n">
        <f aca="false">PI()*POWER((T623/200),2)</f>
        <v>0</v>
      </c>
      <c r="AB623" s="15" t="n">
        <f aca="false">PI()*POWER((U623/200),2)</f>
        <v>0</v>
      </c>
    </row>
    <row r="624" customFormat="false" ht="15" hidden="false" customHeight="false" outlineLevel="0" collapsed="false">
      <c r="A624" s="2" t="s">
        <v>20</v>
      </c>
      <c r="B624" s="2" t="n">
        <v>3</v>
      </c>
      <c r="C624" s="9" t="n">
        <v>46265</v>
      </c>
      <c r="D624" s="2" t="n">
        <v>4</v>
      </c>
      <c r="E624" s="2" t="s">
        <v>35</v>
      </c>
      <c r="F624" s="2" t="s">
        <v>36</v>
      </c>
      <c r="G624" s="2" t="s">
        <v>37</v>
      </c>
      <c r="H624" s="2" t="s">
        <v>38</v>
      </c>
      <c r="I624" s="2" t="s">
        <v>39</v>
      </c>
      <c r="J624" s="2" t="n">
        <v>29</v>
      </c>
      <c r="K624" s="32" t="s">
        <v>105</v>
      </c>
      <c r="L624" s="15" t="n">
        <f aca="false">SUM(V624:AB624)</f>
        <v>0.00264207942166902</v>
      </c>
      <c r="M624" s="15" t="n">
        <f aca="false">MAX(O624:U624)</f>
        <v>5.8</v>
      </c>
      <c r="N624" s="15" t="n">
        <f aca="false">COUNTIF(M624,"&gt;9.9")</f>
        <v>0</v>
      </c>
      <c r="O624" s="2" t="n">
        <v>5.8</v>
      </c>
      <c r="V624" s="15" t="n">
        <f aca="false">PI()*POWER((O624/200),2)</f>
        <v>0.00264207942166902</v>
      </c>
      <c r="W624" s="15" t="n">
        <f aca="false">PI()*POWER((P624/200),2)</f>
        <v>0</v>
      </c>
      <c r="X624" s="15" t="n">
        <f aca="false">PI()*POWER((Q624/200),2)</f>
        <v>0</v>
      </c>
      <c r="Y624" s="15" t="n">
        <f aca="false">PI()*POWER((R624/200),2)</f>
        <v>0</v>
      </c>
      <c r="Z624" s="15" t="n">
        <f aca="false">PI()*POWER((S624/200),2)</f>
        <v>0</v>
      </c>
      <c r="AA624" s="15" t="n">
        <f aca="false">PI()*POWER((T624/200),2)</f>
        <v>0</v>
      </c>
      <c r="AB624" s="15" t="n">
        <f aca="false">PI()*POWER((U624/200),2)</f>
        <v>0</v>
      </c>
    </row>
    <row r="625" customFormat="false" ht="15" hidden="false" customHeight="false" outlineLevel="0" collapsed="false">
      <c r="A625" s="2" t="s">
        <v>20</v>
      </c>
      <c r="B625" s="2" t="n">
        <v>3</v>
      </c>
      <c r="C625" s="9" t="n">
        <v>46265</v>
      </c>
      <c r="D625" s="2" t="n">
        <v>4</v>
      </c>
      <c r="E625" s="2" t="s">
        <v>35</v>
      </c>
      <c r="F625" s="2" t="s">
        <v>36</v>
      </c>
      <c r="G625" s="2" t="s">
        <v>37</v>
      </c>
      <c r="H625" s="2" t="s">
        <v>38</v>
      </c>
      <c r="I625" s="2" t="s">
        <v>39</v>
      </c>
      <c r="J625" s="2" t="n">
        <v>31</v>
      </c>
      <c r="K625" s="32" t="s">
        <v>105</v>
      </c>
      <c r="L625" s="15" t="n">
        <f aca="false">SUM(V625:AB625)</f>
        <v>0.00292246656600191</v>
      </c>
      <c r="M625" s="15" t="n">
        <f aca="false">MAX(O625:U625)</f>
        <v>6.1</v>
      </c>
      <c r="N625" s="15" t="n">
        <f aca="false">COUNTIF(M625,"&gt;9.9")</f>
        <v>0</v>
      </c>
      <c r="O625" s="2" t="n">
        <v>6.1</v>
      </c>
      <c r="V625" s="15" t="n">
        <f aca="false">PI()*POWER((O625/200),2)</f>
        <v>0.00292246656600191</v>
      </c>
      <c r="W625" s="15" t="n">
        <f aca="false">PI()*POWER((P625/200),2)</f>
        <v>0</v>
      </c>
      <c r="X625" s="15" t="n">
        <f aca="false">PI()*POWER((Q625/200),2)</f>
        <v>0</v>
      </c>
      <c r="Y625" s="15" t="n">
        <f aca="false">PI()*POWER((R625/200),2)</f>
        <v>0</v>
      </c>
      <c r="Z625" s="15" t="n">
        <f aca="false">PI()*POWER((S625/200),2)</f>
        <v>0</v>
      </c>
      <c r="AA625" s="15" t="n">
        <f aca="false">PI()*POWER((T625/200),2)</f>
        <v>0</v>
      </c>
      <c r="AB625" s="15" t="n">
        <f aca="false">PI()*POWER((U625/200),2)</f>
        <v>0</v>
      </c>
    </row>
    <row r="626" customFormat="false" ht="15" hidden="false" customHeight="false" outlineLevel="0" collapsed="false">
      <c r="A626" s="2" t="s">
        <v>20</v>
      </c>
      <c r="B626" s="2" t="n">
        <v>3</v>
      </c>
      <c r="C626" s="9" t="n">
        <v>46265</v>
      </c>
      <c r="D626" s="2" t="n">
        <v>4</v>
      </c>
      <c r="E626" s="2" t="s">
        <v>35</v>
      </c>
      <c r="F626" s="2" t="s">
        <v>36</v>
      </c>
      <c r="G626" s="2" t="s">
        <v>37</v>
      </c>
      <c r="H626" s="2" t="s">
        <v>38</v>
      </c>
      <c r="I626" s="2" t="s">
        <v>39</v>
      </c>
      <c r="J626" s="2" t="n">
        <v>3</v>
      </c>
      <c r="K626" s="32" t="s">
        <v>105</v>
      </c>
      <c r="L626" s="15" t="n">
        <f aca="false">SUM(V626:AB626)</f>
        <v>0.00321699087727595</v>
      </c>
      <c r="M626" s="15" t="n">
        <f aca="false">MAX(O626:U626)</f>
        <v>6.4</v>
      </c>
      <c r="N626" s="15" t="n">
        <f aca="false">COUNTIF(M626,"&gt;9.9")</f>
        <v>0</v>
      </c>
      <c r="O626" s="2" t="n">
        <v>6.4</v>
      </c>
      <c r="V626" s="15" t="n">
        <f aca="false">PI()*POWER((O626/200),2)</f>
        <v>0.00321699087727595</v>
      </c>
      <c r="W626" s="15" t="n">
        <f aca="false">PI()*POWER((P626/200),2)</f>
        <v>0</v>
      </c>
      <c r="X626" s="15" t="n">
        <f aca="false">PI()*POWER((Q626/200),2)</f>
        <v>0</v>
      </c>
      <c r="Y626" s="15" t="n">
        <f aca="false">PI()*POWER((R626/200),2)</f>
        <v>0</v>
      </c>
      <c r="Z626" s="15" t="n">
        <f aca="false">PI()*POWER((S626/200),2)</f>
        <v>0</v>
      </c>
      <c r="AA626" s="15" t="n">
        <f aca="false">PI()*POWER((T626/200),2)</f>
        <v>0</v>
      </c>
      <c r="AB626" s="15" t="n">
        <f aca="false">PI()*POWER((U626/200),2)</f>
        <v>0</v>
      </c>
    </row>
    <row r="627" customFormat="false" ht="15" hidden="false" customHeight="false" outlineLevel="0" collapsed="false">
      <c r="A627" s="2" t="s">
        <v>20</v>
      </c>
      <c r="B627" s="2" t="n">
        <v>3</v>
      </c>
      <c r="C627" s="9" t="n">
        <v>46265</v>
      </c>
      <c r="D627" s="2" t="n">
        <v>4</v>
      </c>
      <c r="E627" s="2" t="s">
        <v>35</v>
      </c>
      <c r="F627" s="2" t="s">
        <v>36</v>
      </c>
      <c r="G627" s="2" t="s">
        <v>37</v>
      </c>
      <c r="H627" s="2" t="s">
        <v>38</v>
      </c>
      <c r="I627" s="2" t="s">
        <v>39</v>
      </c>
      <c r="J627" s="2" t="n">
        <v>1</v>
      </c>
      <c r="K627" s="32" t="s">
        <v>105</v>
      </c>
      <c r="L627" s="15" t="n">
        <f aca="false">SUM(V627:AB627)</f>
        <v>0.0036018359773407</v>
      </c>
      <c r="M627" s="15" t="n">
        <f aca="false">MAX(O627:U627)</f>
        <v>6.5</v>
      </c>
      <c r="N627" s="15" t="n">
        <f aca="false">COUNTIF(M627,"&gt;9.9")</f>
        <v>0</v>
      </c>
      <c r="O627" s="2" t="n">
        <v>6.5</v>
      </c>
      <c r="P627" s="2" t="n">
        <v>1.9</v>
      </c>
      <c r="V627" s="15" t="n">
        <f aca="false">PI()*POWER((O627/200),2)</f>
        <v>0.00331830724035422</v>
      </c>
      <c r="W627" s="15" t="n">
        <f aca="false">PI()*POWER((P627/200),2)</f>
        <v>0.000283528736986479</v>
      </c>
      <c r="X627" s="15" t="n">
        <f aca="false">PI()*POWER((Q627/200),2)</f>
        <v>0</v>
      </c>
      <c r="Y627" s="15" t="n">
        <f aca="false">PI()*POWER((R627/200),2)</f>
        <v>0</v>
      </c>
      <c r="Z627" s="15" t="n">
        <f aca="false">PI()*POWER((S627/200),2)</f>
        <v>0</v>
      </c>
      <c r="AA627" s="15" t="n">
        <f aca="false">PI()*POWER((T627/200),2)</f>
        <v>0</v>
      </c>
      <c r="AB627" s="15" t="n">
        <f aca="false">PI()*POWER((U627/200),2)</f>
        <v>0</v>
      </c>
    </row>
    <row r="628" customFormat="false" ht="15" hidden="false" customHeight="false" outlineLevel="0" collapsed="false">
      <c r="A628" s="2" t="s">
        <v>20</v>
      </c>
      <c r="B628" s="2" t="n">
        <v>3</v>
      </c>
      <c r="C628" s="9" t="n">
        <v>46265</v>
      </c>
      <c r="D628" s="2" t="n">
        <v>4</v>
      </c>
      <c r="E628" s="2" t="s">
        <v>35</v>
      </c>
      <c r="F628" s="2" t="s">
        <v>36</v>
      </c>
      <c r="G628" s="2" t="s">
        <v>37</v>
      </c>
      <c r="H628" s="2" t="s">
        <v>38</v>
      </c>
      <c r="I628" s="2" t="s">
        <v>39</v>
      </c>
      <c r="J628" s="2" t="n">
        <v>44</v>
      </c>
      <c r="K628" s="32" t="s">
        <v>105</v>
      </c>
      <c r="L628" s="15" t="n">
        <f aca="false">SUM(V628:AB628)</f>
        <v>0.00352565235549115</v>
      </c>
      <c r="M628" s="15" t="n">
        <f aca="false">MAX(O628:U628)</f>
        <v>6.7</v>
      </c>
      <c r="N628" s="15" t="n">
        <f aca="false">COUNTIF(M628,"&gt;9.9")</f>
        <v>0</v>
      </c>
      <c r="O628" s="2" t="n">
        <v>6.7</v>
      </c>
      <c r="V628" s="15" t="n">
        <f aca="false">PI()*POWER((O628/200),2)</f>
        <v>0.00352565235549115</v>
      </c>
      <c r="W628" s="15" t="n">
        <f aca="false">PI()*POWER((P628/200),2)</f>
        <v>0</v>
      </c>
      <c r="X628" s="15" t="n">
        <f aca="false">PI()*POWER((Q628/200),2)</f>
        <v>0</v>
      </c>
      <c r="Y628" s="15" t="n">
        <f aca="false">PI()*POWER((R628/200),2)</f>
        <v>0</v>
      </c>
      <c r="Z628" s="15" t="n">
        <f aca="false">PI()*POWER((S628/200),2)</f>
        <v>0</v>
      </c>
      <c r="AA628" s="15" t="n">
        <f aca="false">PI()*POWER((T628/200),2)</f>
        <v>0</v>
      </c>
      <c r="AB628" s="15" t="n">
        <f aca="false">PI()*POWER((U628/200),2)</f>
        <v>0</v>
      </c>
    </row>
    <row r="629" customFormat="false" ht="15" hidden="false" customHeight="false" outlineLevel="0" collapsed="false">
      <c r="A629" s="2" t="s">
        <v>20</v>
      </c>
      <c r="B629" s="2" t="n">
        <v>3</v>
      </c>
      <c r="C629" s="9" t="n">
        <v>46265</v>
      </c>
      <c r="D629" s="2" t="n">
        <v>4</v>
      </c>
      <c r="E629" s="2" t="s">
        <v>35</v>
      </c>
      <c r="F629" s="2" t="s">
        <v>36</v>
      </c>
      <c r="G629" s="2" t="s">
        <v>37</v>
      </c>
      <c r="H629" s="2" t="s">
        <v>38</v>
      </c>
      <c r="I629" s="2" t="s">
        <v>39</v>
      </c>
      <c r="J629" s="2" t="n">
        <v>11</v>
      </c>
      <c r="K629" s="32" t="s">
        <v>105</v>
      </c>
      <c r="L629" s="15" t="n">
        <f aca="false">SUM(V629:AB629)</f>
        <v>0.0036316811075498</v>
      </c>
      <c r="M629" s="15" t="n">
        <f aca="false">MAX(O629:U629)</f>
        <v>6.8</v>
      </c>
      <c r="N629" s="15" t="n">
        <f aca="false">COUNTIF(M629,"&gt;9.9")</f>
        <v>0</v>
      </c>
      <c r="O629" s="2" t="n">
        <v>6.8</v>
      </c>
      <c r="V629" s="15" t="n">
        <f aca="false">PI()*POWER((O629/200),2)</f>
        <v>0.0036316811075498</v>
      </c>
      <c r="W629" s="15" t="n">
        <f aca="false">PI()*POWER((P629/200),2)</f>
        <v>0</v>
      </c>
      <c r="X629" s="15" t="n">
        <f aca="false">PI()*POWER((Q629/200),2)</f>
        <v>0</v>
      </c>
      <c r="Y629" s="15" t="n">
        <f aca="false">PI()*POWER((R629/200),2)</f>
        <v>0</v>
      </c>
      <c r="Z629" s="15" t="n">
        <f aca="false">PI()*POWER((S629/200),2)</f>
        <v>0</v>
      </c>
      <c r="AA629" s="15" t="n">
        <f aca="false">PI()*POWER((T629/200),2)</f>
        <v>0</v>
      </c>
      <c r="AB629" s="15" t="n">
        <f aca="false">PI()*POWER((U629/200),2)</f>
        <v>0</v>
      </c>
    </row>
    <row r="630" customFormat="false" ht="15" hidden="false" customHeight="false" outlineLevel="0" collapsed="false">
      <c r="A630" s="2" t="s">
        <v>20</v>
      </c>
      <c r="B630" s="2" t="n">
        <v>3</v>
      </c>
      <c r="C630" s="9" t="n">
        <v>46265</v>
      </c>
      <c r="D630" s="2" t="n">
        <v>4</v>
      </c>
      <c r="E630" s="2" t="s">
        <v>35</v>
      </c>
      <c r="F630" s="2" t="s">
        <v>36</v>
      </c>
      <c r="G630" s="2" t="s">
        <v>37</v>
      </c>
      <c r="H630" s="2" t="s">
        <v>38</v>
      </c>
      <c r="I630" s="2" t="s">
        <v>39</v>
      </c>
      <c r="J630" s="2" t="n">
        <v>32</v>
      </c>
      <c r="K630" s="32" t="s">
        <v>105</v>
      </c>
      <c r="L630" s="15" t="n">
        <f aca="false">SUM(V630:AB630)</f>
        <v>0.0036316811075498</v>
      </c>
      <c r="M630" s="15" t="n">
        <f aca="false">MAX(O630:U630)</f>
        <v>6.8</v>
      </c>
      <c r="N630" s="15" t="n">
        <f aca="false">COUNTIF(M630,"&gt;9.9")</f>
        <v>0</v>
      </c>
      <c r="O630" s="2" t="n">
        <v>6.8</v>
      </c>
      <c r="V630" s="15" t="n">
        <f aca="false">PI()*POWER((O630/200),2)</f>
        <v>0.0036316811075498</v>
      </c>
      <c r="W630" s="15" t="n">
        <f aca="false">PI()*POWER((P630/200),2)</f>
        <v>0</v>
      </c>
      <c r="X630" s="15" t="n">
        <f aca="false">PI()*POWER((Q630/200),2)</f>
        <v>0</v>
      </c>
      <c r="Y630" s="15" t="n">
        <f aca="false">PI()*POWER((R630/200),2)</f>
        <v>0</v>
      </c>
      <c r="Z630" s="15" t="n">
        <f aca="false">PI()*POWER((S630/200),2)</f>
        <v>0</v>
      </c>
      <c r="AA630" s="15" t="n">
        <f aca="false">PI()*POWER((T630/200),2)</f>
        <v>0</v>
      </c>
      <c r="AB630" s="15" t="n">
        <f aca="false">PI()*POWER((U630/200),2)</f>
        <v>0</v>
      </c>
    </row>
    <row r="631" customFormat="false" ht="15" hidden="false" customHeight="false" outlineLevel="0" collapsed="false">
      <c r="A631" s="2" t="s">
        <v>20</v>
      </c>
      <c r="B631" s="2" t="n">
        <v>3</v>
      </c>
      <c r="C631" s="9" t="n">
        <v>46265</v>
      </c>
      <c r="D631" s="2" t="n">
        <v>4</v>
      </c>
      <c r="E631" s="2" t="s">
        <v>35</v>
      </c>
      <c r="F631" s="2" t="s">
        <v>36</v>
      </c>
      <c r="G631" s="2" t="s">
        <v>37</v>
      </c>
      <c r="H631" s="2" t="s">
        <v>38</v>
      </c>
      <c r="I631" s="2" t="s">
        <v>39</v>
      </c>
      <c r="J631" s="2" t="n">
        <v>9</v>
      </c>
      <c r="K631" s="32" t="s">
        <v>105</v>
      </c>
      <c r="L631" s="15" t="n">
        <f aca="false">SUM(V631:AB631)</f>
        <v>0.0038484510006475</v>
      </c>
      <c r="M631" s="15" t="n">
        <f aca="false">MAX(O631:U631)</f>
        <v>7</v>
      </c>
      <c r="N631" s="15" t="n">
        <f aca="false">COUNTIF(M631,"&gt;9.9")</f>
        <v>0</v>
      </c>
      <c r="O631" s="2" t="n">
        <v>7</v>
      </c>
      <c r="V631" s="15" t="n">
        <f aca="false">PI()*POWER((O631/200),2)</f>
        <v>0.0038484510006475</v>
      </c>
      <c r="W631" s="15" t="n">
        <f aca="false">PI()*POWER((P631/200),2)</f>
        <v>0</v>
      </c>
      <c r="X631" s="15" t="n">
        <f aca="false">PI()*POWER((Q631/200),2)</f>
        <v>0</v>
      </c>
      <c r="Y631" s="15" t="n">
        <f aca="false">PI()*POWER((R631/200),2)</f>
        <v>0</v>
      </c>
      <c r="Z631" s="15" t="n">
        <f aca="false">PI()*POWER((S631/200),2)</f>
        <v>0</v>
      </c>
      <c r="AA631" s="15" t="n">
        <f aca="false">PI()*POWER((T631/200),2)</f>
        <v>0</v>
      </c>
      <c r="AB631" s="15" t="n">
        <f aca="false">PI()*POWER((U631/200),2)</f>
        <v>0</v>
      </c>
    </row>
    <row r="632" customFormat="false" ht="15" hidden="false" customHeight="false" outlineLevel="0" collapsed="false">
      <c r="A632" s="2" t="s">
        <v>20</v>
      </c>
      <c r="B632" s="2" t="n">
        <v>3</v>
      </c>
      <c r="C632" s="9" t="n">
        <v>46265</v>
      </c>
      <c r="D632" s="2" t="n">
        <v>4</v>
      </c>
      <c r="E632" s="2" t="s">
        <v>35</v>
      </c>
      <c r="F632" s="2" t="s">
        <v>36</v>
      </c>
      <c r="G632" s="2" t="s">
        <v>37</v>
      </c>
      <c r="H632" s="2" t="s">
        <v>38</v>
      </c>
      <c r="I632" s="2" t="s">
        <v>39</v>
      </c>
      <c r="J632" s="2" t="n">
        <v>45</v>
      </c>
      <c r="K632" s="32" t="s">
        <v>105</v>
      </c>
      <c r="L632" s="15" t="n">
        <f aca="false">SUM(V632:AB632)</f>
        <v>0.0038484510006475</v>
      </c>
      <c r="M632" s="15" t="n">
        <f aca="false">MAX(O632:U632)</f>
        <v>7</v>
      </c>
      <c r="N632" s="15" t="n">
        <f aca="false">COUNTIF(M632,"&gt;9.9")</f>
        <v>0</v>
      </c>
      <c r="O632" s="2" t="n">
        <v>7</v>
      </c>
      <c r="V632" s="15" t="n">
        <f aca="false">PI()*POWER((O632/200),2)</f>
        <v>0.0038484510006475</v>
      </c>
      <c r="W632" s="15" t="n">
        <f aca="false">PI()*POWER((P632/200),2)</f>
        <v>0</v>
      </c>
      <c r="X632" s="15" t="n">
        <f aca="false">PI()*POWER((Q632/200),2)</f>
        <v>0</v>
      </c>
      <c r="Y632" s="15" t="n">
        <f aca="false">PI()*POWER((R632/200),2)</f>
        <v>0</v>
      </c>
      <c r="Z632" s="15" t="n">
        <f aca="false">PI()*POWER((S632/200),2)</f>
        <v>0</v>
      </c>
      <c r="AA632" s="15" t="n">
        <f aca="false">PI()*POWER((T632/200),2)</f>
        <v>0</v>
      </c>
      <c r="AB632" s="15" t="n">
        <f aca="false">PI()*POWER((U632/200),2)</f>
        <v>0</v>
      </c>
    </row>
    <row r="633" customFormat="false" ht="15" hidden="false" customHeight="false" outlineLevel="0" collapsed="false">
      <c r="A633" s="2" t="s">
        <v>20</v>
      </c>
      <c r="B633" s="2" t="n">
        <v>3</v>
      </c>
      <c r="C633" s="9" t="n">
        <v>46265</v>
      </c>
      <c r="D633" s="2" t="n">
        <v>4</v>
      </c>
      <c r="E633" s="2" t="s">
        <v>35</v>
      </c>
      <c r="F633" s="2" t="s">
        <v>36</v>
      </c>
      <c r="G633" s="2" t="s">
        <v>37</v>
      </c>
      <c r="H633" s="2" t="s">
        <v>38</v>
      </c>
      <c r="I633" s="2" t="s">
        <v>39</v>
      </c>
      <c r="J633" s="2" t="n">
        <v>59</v>
      </c>
      <c r="K633" s="32" t="s">
        <v>105</v>
      </c>
      <c r="L633" s="15" t="n">
        <f aca="false">SUM(V633:AB633)</f>
        <v>0.0038484510006475</v>
      </c>
      <c r="M633" s="15" t="n">
        <f aca="false">MAX(O633:U633)</f>
        <v>7</v>
      </c>
      <c r="N633" s="15" t="n">
        <f aca="false">COUNTIF(M633,"&gt;9.9")</f>
        <v>0</v>
      </c>
      <c r="O633" s="2" t="n">
        <v>7</v>
      </c>
      <c r="V633" s="15" t="n">
        <f aca="false">PI()*POWER((O633/200),2)</f>
        <v>0.0038484510006475</v>
      </c>
      <c r="W633" s="15" t="n">
        <f aca="false">PI()*POWER((P633/200),2)</f>
        <v>0</v>
      </c>
      <c r="X633" s="15" t="n">
        <f aca="false">PI()*POWER((Q633/200),2)</f>
        <v>0</v>
      </c>
      <c r="Y633" s="15" t="n">
        <f aca="false">PI()*POWER((R633/200),2)</f>
        <v>0</v>
      </c>
      <c r="Z633" s="15" t="n">
        <f aca="false">PI()*POWER((S633/200),2)</f>
        <v>0</v>
      </c>
      <c r="AA633" s="15" t="n">
        <f aca="false">PI()*POWER((T633/200),2)</f>
        <v>0</v>
      </c>
      <c r="AB633" s="15" t="n">
        <f aca="false">PI()*POWER((U633/200),2)</f>
        <v>0</v>
      </c>
    </row>
    <row r="634" customFormat="false" ht="15" hidden="false" customHeight="false" outlineLevel="0" collapsed="false">
      <c r="A634" s="2" t="s">
        <v>20</v>
      </c>
      <c r="B634" s="2" t="n">
        <v>3</v>
      </c>
      <c r="C634" s="9" t="n">
        <v>46265</v>
      </c>
      <c r="D634" s="2" t="n">
        <v>4</v>
      </c>
      <c r="E634" s="2" t="s">
        <v>35</v>
      </c>
      <c r="F634" s="2" t="s">
        <v>36</v>
      </c>
      <c r="G634" s="2" t="s">
        <v>37</v>
      </c>
      <c r="H634" s="2" t="s">
        <v>38</v>
      </c>
      <c r="I634" s="2" t="s">
        <v>39</v>
      </c>
      <c r="J634" s="2" t="n">
        <v>7</v>
      </c>
      <c r="K634" s="32" t="s">
        <v>105</v>
      </c>
      <c r="L634" s="15" t="n">
        <f aca="false">SUM(V634:AB634)</f>
        <v>0.00395919214168654</v>
      </c>
      <c r="M634" s="15" t="n">
        <f aca="false">MAX(O634:U634)</f>
        <v>7.1</v>
      </c>
      <c r="N634" s="15" t="n">
        <f aca="false">COUNTIF(M634,"&gt;9.9")</f>
        <v>0</v>
      </c>
      <c r="O634" s="2" t="n">
        <v>7.1</v>
      </c>
      <c r="V634" s="15" t="n">
        <f aca="false">PI()*POWER((O634/200),2)</f>
        <v>0.00395919214168654</v>
      </c>
      <c r="W634" s="15" t="n">
        <f aca="false">PI()*POWER((P634/200),2)</f>
        <v>0</v>
      </c>
      <c r="X634" s="15" t="n">
        <f aca="false">PI()*POWER((Q634/200),2)</f>
        <v>0</v>
      </c>
      <c r="Y634" s="15" t="n">
        <f aca="false">PI()*POWER((R634/200),2)</f>
        <v>0</v>
      </c>
      <c r="Z634" s="15" t="n">
        <f aca="false">PI()*POWER((S634/200),2)</f>
        <v>0</v>
      </c>
      <c r="AA634" s="15" t="n">
        <f aca="false">PI()*POWER((T634/200),2)</f>
        <v>0</v>
      </c>
      <c r="AB634" s="15" t="n">
        <f aca="false">PI()*POWER((U634/200),2)</f>
        <v>0</v>
      </c>
    </row>
    <row r="635" customFormat="false" ht="15" hidden="false" customHeight="false" outlineLevel="0" collapsed="false">
      <c r="A635" s="2" t="s">
        <v>20</v>
      </c>
      <c r="B635" s="2" t="n">
        <v>3</v>
      </c>
      <c r="C635" s="9" t="n">
        <v>46265</v>
      </c>
      <c r="D635" s="2" t="n">
        <v>4</v>
      </c>
      <c r="E635" s="2" t="s">
        <v>35</v>
      </c>
      <c r="F635" s="2" t="s">
        <v>36</v>
      </c>
      <c r="G635" s="2" t="s">
        <v>37</v>
      </c>
      <c r="H635" s="2" t="s">
        <v>38</v>
      </c>
      <c r="I635" s="2" t="s">
        <v>39</v>
      </c>
      <c r="J635" s="2" t="n">
        <v>61</v>
      </c>
      <c r="K635" s="32" t="s">
        <v>105</v>
      </c>
      <c r="L635" s="15" t="n">
        <f aca="false">SUM(V635:AB635)</f>
        <v>0.00395919214168654</v>
      </c>
      <c r="M635" s="15" t="n">
        <f aca="false">MAX(O635:U635)</f>
        <v>7.1</v>
      </c>
      <c r="N635" s="15" t="n">
        <f aca="false">COUNTIF(M635,"&gt;9.9")</f>
        <v>0</v>
      </c>
      <c r="O635" s="2" t="n">
        <v>7.1</v>
      </c>
      <c r="V635" s="15" t="n">
        <f aca="false">PI()*POWER((O635/200),2)</f>
        <v>0.00395919214168654</v>
      </c>
      <c r="W635" s="15" t="n">
        <f aca="false">PI()*POWER((P635/200),2)</f>
        <v>0</v>
      </c>
      <c r="X635" s="15" t="n">
        <f aca="false">PI()*POWER((Q635/200),2)</f>
        <v>0</v>
      </c>
      <c r="Y635" s="15" t="n">
        <f aca="false">PI()*POWER((R635/200),2)</f>
        <v>0</v>
      </c>
      <c r="Z635" s="15" t="n">
        <f aca="false">PI()*POWER((S635/200),2)</f>
        <v>0</v>
      </c>
      <c r="AA635" s="15" t="n">
        <f aca="false">PI()*POWER((T635/200),2)</f>
        <v>0</v>
      </c>
      <c r="AB635" s="15" t="n">
        <f aca="false">PI()*POWER((U635/200),2)</f>
        <v>0</v>
      </c>
    </row>
    <row r="636" customFormat="false" ht="15" hidden="false" customHeight="false" outlineLevel="0" collapsed="false">
      <c r="A636" s="2" t="s">
        <v>20</v>
      </c>
      <c r="B636" s="2" t="n">
        <v>3</v>
      </c>
      <c r="C636" s="9" t="n">
        <v>46265</v>
      </c>
      <c r="D636" s="2" t="n">
        <v>4</v>
      </c>
      <c r="E636" s="2" t="s">
        <v>35</v>
      </c>
      <c r="F636" s="2" t="s">
        <v>36</v>
      </c>
      <c r="G636" s="2" t="s">
        <v>37</v>
      </c>
      <c r="H636" s="2" t="s">
        <v>38</v>
      </c>
      <c r="I636" s="2" t="s">
        <v>39</v>
      </c>
      <c r="J636" s="2" t="n">
        <v>27</v>
      </c>
      <c r="K636" s="32" t="s">
        <v>105</v>
      </c>
      <c r="L636" s="15" t="n">
        <f aca="false">SUM(V636:AB636)</f>
        <v>0.00407150407905237</v>
      </c>
      <c r="M636" s="15" t="n">
        <f aca="false">MAX(O636:U636)</f>
        <v>7.2</v>
      </c>
      <c r="N636" s="15" t="n">
        <f aca="false">COUNTIF(M636,"&gt;9.9")</f>
        <v>0</v>
      </c>
      <c r="O636" s="2" t="n">
        <v>7.2</v>
      </c>
      <c r="V636" s="15" t="n">
        <f aca="false">PI()*POWER((O636/200),2)</f>
        <v>0.00407150407905237</v>
      </c>
      <c r="W636" s="15" t="n">
        <f aca="false">PI()*POWER((P636/200),2)</f>
        <v>0</v>
      </c>
      <c r="X636" s="15" t="n">
        <f aca="false">PI()*POWER((Q636/200),2)</f>
        <v>0</v>
      </c>
      <c r="Y636" s="15" t="n">
        <f aca="false">PI()*POWER((R636/200),2)</f>
        <v>0</v>
      </c>
      <c r="Z636" s="15" t="n">
        <f aca="false">PI()*POWER((S636/200),2)</f>
        <v>0</v>
      </c>
      <c r="AA636" s="15" t="n">
        <f aca="false">PI()*POWER((T636/200),2)</f>
        <v>0</v>
      </c>
      <c r="AB636" s="15" t="n">
        <f aca="false">PI()*POWER((U636/200),2)</f>
        <v>0</v>
      </c>
    </row>
    <row r="637" customFormat="false" ht="15" hidden="false" customHeight="false" outlineLevel="0" collapsed="false">
      <c r="A637" s="2" t="s">
        <v>20</v>
      </c>
      <c r="B637" s="2" t="n">
        <v>3</v>
      </c>
      <c r="C637" s="9" t="n">
        <v>46265</v>
      </c>
      <c r="D637" s="2" t="n">
        <v>4</v>
      </c>
      <c r="E637" s="2" t="s">
        <v>35</v>
      </c>
      <c r="F637" s="2" t="s">
        <v>36</v>
      </c>
      <c r="G637" s="2" t="s">
        <v>37</v>
      </c>
      <c r="H637" s="2" t="s">
        <v>38</v>
      </c>
      <c r="I637" s="2" t="s">
        <v>39</v>
      </c>
      <c r="J637" s="2" t="n">
        <v>41</v>
      </c>
      <c r="K637" s="32" t="s">
        <v>105</v>
      </c>
      <c r="L637" s="15" t="n">
        <f aca="false">SUM(V637:AB637)</f>
        <v>0.004185386812745</v>
      </c>
      <c r="M637" s="15" t="n">
        <f aca="false">MAX(O637:U637)</f>
        <v>7.3</v>
      </c>
      <c r="N637" s="15" t="n">
        <f aca="false">COUNTIF(M637,"&gt;9.9")</f>
        <v>0</v>
      </c>
      <c r="O637" s="2" t="n">
        <v>7.3</v>
      </c>
      <c r="V637" s="15" t="n">
        <f aca="false">PI()*POWER((O637/200),2)</f>
        <v>0.004185386812745</v>
      </c>
      <c r="W637" s="15" t="n">
        <f aca="false">PI()*POWER((P637/200),2)</f>
        <v>0</v>
      </c>
      <c r="X637" s="15" t="n">
        <f aca="false">PI()*POWER((Q637/200),2)</f>
        <v>0</v>
      </c>
      <c r="Y637" s="15" t="n">
        <f aca="false">PI()*POWER((R637/200),2)</f>
        <v>0</v>
      </c>
      <c r="Z637" s="15" t="n">
        <f aca="false">PI()*POWER((S637/200),2)</f>
        <v>0</v>
      </c>
      <c r="AA637" s="15" t="n">
        <f aca="false">PI()*POWER((T637/200),2)</f>
        <v>0</v>
      </c>
      <c r="AB637" s="15" t="n">
        <f aca="false">PI()*POWER((U637/200),2)</f>
        <v>0</v>
      </c>
    </row>
    <row r="638" customFormat="false" ht="15" hidden="false" customHeight="false" outlineLevel="0" collapsed="false">
      <c r="A638" s="2" t="s">
        <v>20</v>
      </c>
      <c r="B638" s="2" t="n">
        <v>3</v>
      </c>
      <c r="C638" s="9" t="n">
        <v>46265</v>
      </c>
      <c r="D638" s="2" t="n">
        <v>4</v>
      </c>
      <c r="E638" s="2" t="s">
        <v>35</v>
      </c>
      <c r="F638" s="2" t="s">
        <v>36</v>
      </c>
      <c r="G638" s="2" t="s">
        <v>37</v>
      </c>
      <c r="H638" s="2" t="s">
        <v>38</v>
      </c>
      <c r="I638" s="2" t="s">
        <v>39</v>
      </c>
      <c r="J638" s="2" t="n">
        <v>6</v>
      </c>
      <c r="K638" s="32" t="s">
        <v>105</v>
      </c>
      <c r="L638" s="15" t="n">
        <f aca="false">SUM(V638:AB638)</f>
        <v>0.00453645979178366</v>
      </c>
      <c r="M638" s="15" t="n">
        <f aca="false">MAX(O638:U638)</f>
        <v>7.6</v>
      </c>
      <c r="N638" s="15" t="n">
        <f aca="false">COUNTIF(M638,"&gt;9.9")</f>
        <v>0</v>
      </c>
      <c r="O638" s="2" t="n">
        <v>7.6</v>
      </c>
      <c r="V638" s="15" t="n">
        <f aca="false">PI()*POWER((O638/200),2)</f>
        <v>0.00453645979178366</v>
      </c>
      <c r="W638" s="15" t="n">
        <f aca="false">PI()*POWER((P638/200),2)</f>
        <v>0</v>
      </c>
      <c r="X638" s="15" t="n">
        <f aca="false">PI()*POWER((Q638/200),2)</f>
        <v>0</v>
      </c>
      <c r="Y638" s="15" t="n">
        <f aca="false">PI()*POWER((R638/200),2)</f>
        <v>0</v>
      </c>
      <c r="Z638" s="15" t="n">
        <f aca="false">PI()*POWER((S638/200),2)</f>
        <v>0</v>
      </c>
      <c r="AA638" s="15" t="n">
        <f aca="false">PI()*POWER((T638/200),2)</f>
        <v>0</v>
      </c>
      <c r="AB638" s="15" t="n">
        <f aca="false">PI()*POWER((U638/200),2)</f>
        <v>0</v>
      </c>
    </row>
    <row r="639" customFormat="false" ht="15" hidden="false" customHeight="false" outlineLevel="0" collapsed="false">
      <c r="A639" s="2" t="s">
        <v>20</v>
      </c>
      <c r="B639" s="2" t="n">
        <v>3</v>
      </c>
      <c r="C639" s="9" t="n">
        <v>46265</v>
      </c>
      <c r="D639" s="2" t="n">
        <v>4</v>
      </c>
      <c r="E639" s="2" t="s">
        <v>35</v>
      </c>
      <c r="F639" s="2" t="s">
        <v>36</v>
      </c>
      <c r="G639" s="2" t="s">
        <v>37</v>
      </c>
      <c r="H639" s="2" t="s">
        <v>38</v>
      </c>
      <c r="I639" s="2" t="s">
        <v>39</v>
      </c>
      <c r="J639" s="2" t="n">
        <v>51</v>
      </c>
      <c r="K639" s="32" t="s">
        <v>105</v>
      </c>
      <c r="L639" s="15" t="n">
        <f aca="false">SUM(V639:AB639)</f>
        <v>0.0055417694409324</v>
      </c>
      <c r="M639" s="15" t="n">
        <f aca="false">MAX(O639:U639)</f>
        <v>8.4</v>
      </c>
      <c r="N639" s="15" t="n">
        <f aca="false">COUNTIF(M639,"&gt;9.9")</f>
        <v>0</v>
      </c>
      <c r="O639" s="2" t="n">
        <v>8.4</v>
      </c>
      <c r="V639" s="15" t="n">
        <f aca="false">PI()*POWER((O639/200),2)</f>
        <v>0.0055417694409324</v>
      </c>
      <c r="W639" s="15" t="n">
        <f aca="false">PI()*POWER((P639/200),2)</f>
        <v>0</v>
      </c>
      <c r="X639" s="15" t="n">
        <f aca="false">PI()*POWER((Q639/200),2)</f>
        <v>0</v>
      </c>
      <c r="Y639" s="15" t="n">
        <f aca="false">PI()*POWER((R639/200),2)</f>
        <v>0</v>
      </c>
      <c r="Z639" s="15" t="n">
        <f aca="false">PI()*POWER((S639/200),2)</f>
        <v>0</v>
      </c>
      <c r="AA639" s="15" t="n">
        <f aca="false">PI()*POWER((T639/200),2)</f>
        <v>0</v>
      </c>
      <c r="AB639" s="15" t="n">
        <f aca="false">PI()*POWER((U639/200),2)</f>
        <v>0</v>
      </c>
    </row>
    <row r="640" customFormat="false" ht="15" hidden="false" customHeight="false" outlineLevel="0" collapsed="false">
      <c r="A640" s="2" t="s">
        <v>20</v>
      </c>
      <c r="B640" s="2" t="n">
        <v>3</v>
      </c>
      <c r="C640" s="9" t="n">
        <v>46265</v>
      </c>
      <c r="D640" s="2" t="n">
        <v>4</v>
      </c>
      <c r="E640" s="2" t="s">
        <v>35</v>
      </c>
      <c r="F640" s="2" t="s">
        <v>36</v>
      </c>
      <c r="G640" s="2" t="s">
        <v>37</v>
      </c>
      <c r="H640" s="2" t="s">
        <v>38</v>
      </c>
      <c r="I640" s="2" t="s">
        <v>39</v>
      </c>
      <c r="J640" s="2" t="n">
        <v>19</v>
      </c>
      <c r="K640" s="32" t="s">
        <v>105</v>
      </c>
      <c r="L640" s="15" t="n">
        <f aca="false">SUM(V640:AB640)</f>
        <v>0.00708821842466197</v>
      </c>
      <c r="M640" s="15" t="n">
        <f aca="false">MAX(O640:U640)</f>
        <v>9.5</v>
      </c>
      <c r="N640" s="15" t="n">
        <f aca="false">COUNTIF(M640,"&gt;9.9")</f>
        <v>0</v>
      </c>
      <c r="O640" s="2" t="n">
        <v>9.5</v>
      </c>
      <c r="V640" s="15" t="n">
        <f aca="false">PI()*POWER((O640/200),2)</f>
        <v>0.00708821842466197</v>
      </c>
      <c r="W640" s="15" t="n">
        <f aca="false">PI()*POWER((P640/200),2)</f>
        <v>0</v>
      </c>
      <c r="X640" s="15" t="n">
        <f aca="false">PI()*POWER((Q640/200),2)</f>
        <v>0</v>
      </c>
      <c r="Y640" s="15" t="n">
        <f aca="false">PI()*POWER((R640/200),2)</f>
        <v>0</v>
      </c>
      <c r="Z640" s="15" t="n">
        <f aca="false">PI()*POWER((S640/200),2)</f>
        <v>0</v>
      </c>
      <c r="AA640" s="15" t="n">
        <f aca="false">PI()*POWER((T640/200),2)</f>
        <v>0</v>
      </c>
      <c r="AB640" s="15" t="n">
        <f aca="false">PI()*POWER((U640/200),2)</f>
        <v>0</v>
      </c>
    </row>
    <row r="641" customFormat="false" ht="15" hidden="false" customHeight="false" outlineLevel="0" collapsed="false">
      <c r="A641" s="2" t="s">
        <v>20</v>
      </c>
      <c r="B641" s="2" t="n">
        <v>3</v>
      </c>
      <c r="C641" s="9" t="n">
        <v>46265</v>
      </c>
      <c r="D641" s="2" t="n">
        <v>4</v>
      </c>
      <c r="E641" s="2" t="s">
        <v>35</v>
      </c>
      <c r="F641" s="2" t="s">
        <v>36</v>
      </c>
      <c r="G641" s="2" t="s">
        <v>37</v>
      </c>
      <c r="H641" s="2" t="s">
        <v>38</v>
      </c>
      <c r="I641" s="2" t="s">
        <v>39</v>
      </c>
      <c r="J641" s="2" t="n">
        <v>36</v>
      </c>
      <c r="K641" s="32" t="s">
        <v>105</v>
      </c>
      <c r="L641" s="15" t="n">
        <f aca="false">SUM(V641:AB641)</f>
        <v>0.00708821842466197</v>
      </c>
      <c r="M641" s="15" t="n">
        <f aca="false">MAX(O641:U641)</f>
        <v>9.5</v>
      </c>
      <c r="N641" s="15" t="n">
        <f aca="false">COUNTIF(M641,"&gt;9.9")</f>
        <v>0</v>
      </c>
      <c r="O641" s="2" t="n">
        <v>9.5</v>
      </c>
      <c r="V641" s="15" t="n">
        <f aca="false">PI()*POWER((O641/200),2)</f>
        <v>0.00708821842466197</v>
      </c>
      <c r="W641" s="15" t="n">
        <f aca="false">PI()*POWER((P641/200),2)</f>
        <v>0</v>
      </c>
      <c r="X641" s="15" t="n">
        <f aca="false">PI()*POWER((Q641/200),2)</f>
        <v>0</v>
      </c>
      <c r="Y641" s="15" t="n">
        <f aca="false">PI()*POWER((R641/200),2)</f>
        <v>0</v>
      </c>
      <c r="Z641" s="15" t="n">
        <f aca="false">PI()*POWER((S641/200),2)</f>
        <v>0</v>
      </c>
      <c r="AA641" s="15" t="n">
        <f aca="false">PI()*POWER((T641/200),2)</f>
        <v>0</v>
      </c>
      <c r="AB641" s="15" t="n">
        <f aca="false">PI()*POWER((U641/200),2)</f>
        <v>0</v>
      </c>
    </row>
    <row r="642" customFormat="false" ht="15" hidden="false" customHeight="false" outlineLevel="0" collapsed="false">
      <c r="A642" s="2" t="s">
        <v>20</v>
      </c>
      <c r="B642" s="2" t="n">
        <v>3</v>
      </c>
      <c r="C642" s="9" t="n">
        <v>46265</v>
      </c>
      <c r="D642" s="2" t="n">
        <v>4</v>
      </c>
      <c r="E642" s="2" t="s">
        <v>35</v>
      </c>
      <c r="F642" s="2" t="s">
        <v>36</v>
      </c>
      <c r="G642" s="2" t="s">
        <v>37</v>
      </c>
      <c r="H642" s="2" t="s">
        <v>38</v>
      </c>
      <c r="I642" s="2" t="s">
        <v>39</v>
      </c>
      <c r="J642" s="2" t="n">
        <v>54</v>
      </c>
      <c r="K642" s="32" t="s">
        <v>105</v>
      </c>
      <c r="L642" s="15" t="n">
        <f aca="false">SUM(V642:AB642)</f>
        <v>0.00708821842466197</v>
      </c>
      <c r="M642" s="15" t="n">
        <f aca="false">MAX(O642:U642)</f>
        <v>9.5</v>
      </c>
      <c r="N642" s="15" t="n">
        <f aca="false">COUNTIF(M642,"&gt;9.9")</f>
        <v>0</v>
      </c>
      <c r="O642" s="2" t="n">
        <v>9.5</v>
      </c>
      <c r="V642" s="15" t="n">
        <f aca="false">PI()*POWER((O642/200),2)</f>
        <v>0.00708821842466197</v>
      </c>
      <c r="W642" s="15" t="n">
        <f aca="false">PI()*POWER((P642/200),2)</f>
        <v>0</v>
      </c>
      <c r="X642" s="15" t="n">
        <f aca="false">PI()*POWER((Q642/200),2)</f>
        <v>0</v>
      </c>
      <c r="Y642" s="15" t="n">
        <f aca="false">PI()*POWER((R642/200),2)</f>
        <v>0</v>
      </c>
      <c r="Z642" s="15" t="n">
        <f aca="false">PI()*POWER((S642/200),2)</f>
        <v>0</v>
      </c>
      <c r="AA642" s="15" t="n">
        <f aca="false">PI()*POWER((T642/200),2)</f>
        <v>0</v>
      </c>
      <c r="AB642" s="15" t="n">
        <f aca="false">PI()*POWER((U642/200),2)</f>
        <v>0</v>
      </c>
    </row>
    <row r="643" customFormat="false" ht="15" hidden="false" customHeight="false" outlineLevel="0" collapsed="false">
      <c r="A643" s="2" t="s">
        <v>20</v>
      </c>
      <c r="B643" s="2" t="n">
        <v>3</v>
      </c>
      <c r="C643" s="9" t="n">
        <v>46265</v>
      </c>
      <c r="D643" s="2" t="n">
        <v>4</v>
      </c>
      <c r="E643" s="2" t="s">
        <v>35</v>
      </c>
      <c r="F643" s="2" t="s">
        <v>36</v>
      </c>
      <c r="G643" s="2" t="s">
        <v>37</v>
      </c>
      <c r="H643" s="2" t="s">
        <v>38</v>
      </c>
      <c r="I643" s="2" t="s">
        <v>39</v>
      </c>
      <c r="J643" s="2" t="n">
        <v>18</v>
      </c>
      <c r="K643" s="32" t="s">
        <v>105</v>
      </c>
      <c r="L643" s="15" t="n">
        <f aca="false">SUM(V643:AB643)</f>
        <v>0.00738981131940659</v>
      </c>
      <c r="M643" s="15" t="n">
        <f aca="false">MAX(O643:U643)</f>
        <v>9.7</v>
      </c>
      <c r="N643" s="15" t="n">
        <f aca="false">COUNTIF(M643,"&gt;9.9")</f>
        <v>0</v>
      </c>
      <c r="O643" s="2" t="n">
        <v>9.7</v>
      </c>
      <c r="V643" s="15" t="n">
        <f aca="false">PI()*POWER((O643/200),2)</f>
        <v>0.00738981131940659</v>
      </c>
      <c r="W643" s="15" t="n">
        <f aca="false">PI()*POWER((P643/200),2)</f>
        <v>0</v>
      </c>
      <c r="X643" s="15" t="n">
        <f aca="false">PI()*POWER((Q643/200),2)</f>
        <v>0</v>
      </c>
      <c r="Y643" s="15" t="n">
        <f aca="false">PI()*POWER((R643/200),2)</f>
        <v>0</v>
      </c>
      <c r="Z643" s="15" t="n">
        <f aca="false">PI()*POWER((S643/200),2)</f>
        <v>0</v>
      </c>
      <c r="AA643" s="15" t="n">
        <f aca="false">PI()*POWER((T643/200),2)</f>
        <v>0</v>
      </c>
      <c r="AB643" s="15" t="n">
        <f aca="false">PI()*POWER((U643/200),2)</f>
        <v>0</v>
      </c>
    </row>
    <row r="644" customFormat="false" ht="15" hidden="false" customHeight="false" outlineLevel="0" collapsed="false">
      <c r="A644" s="2" t="s">
        <v>20</v>
      </c>
      <c r="B644" s="2" t="n">
        <v>3</v>
      </c>
      <c r="C644" s="9" t="n">
        <v>46265</v>
      </c>
      <c r="D644" s="2" t="n">
        <v>4</v>
      </c>
      <c r="E644" s="2" t="s">
        <v>35</v>
      </c>
      <c r="F644" s="2" t="s">
        <v>36</v>
      </c>
      <c r="G644" s="2" t="s">
        <v>37</v>
      </c>
      <c r="H644" s="2" t="s">
        <v>38</v>
      </c>
      <c r="I644" s="2" t="s">
        <v>39</v>
      </c>
      <c r="J644" s="2" t="n">
        <v>15</v>
      </c>
      <c r="K644" s="32" t="s">
        <v>105</v>
      </c>
      <c r="L644" s="15" t="n">
        <f aca="false">SUM(V644:AB644)</f>
        <v>0.00754296396126909</v>
      </c>
      <c r="M644" s="15" t="n">
        <f aca="false">MAX(O644:U644)</f>
        <v>9.8</v>
      </c>
      <c r="N644" s="15" t="n">
        <f aca="false">COUNTIF(M644,"&gt;9.9")</f>
        <v>0</v>
      </c>
      <c r="O644" s="2" t="n">
        <v>9.8</v>
      </c>
      <c r="V644" s="15" t="n">
        <f aca="false">PI()*POWER((O644/200),2)</f>
        <v>0.00754296396126909</v>
      </c>
      <c r="W644" s="15" t="n">
        <f aca="false">PI()*POWER((P644/200),2)</f>
        <v>0</v>
      </c>
      <c r="X644" s="15" t="n">
        <f aca="false">PI()*POWER((Q644/200),2)</f>
        <v>0</v>
      </c>
      <c r="Y644" s="15" t="n">
        <f aca="false">PI()*POWER((R644/200),2)</f>
        <v>0</v>
      </c>
      <c r="Z644" s="15" t="n">
        <f aca="false">PI()*POWER((S644/200),2)</f>
        <v>0</v>
      </c>
      <c r="AA644" s="15" t="n">
        <f aca="false">PI()*POWER((T644/200),2)</f>
        <v>0</v>
      </c>
      <c r="AB644" s="15" t="n">
        <f aca="false">PI()*POWER((U644/200),2)</f>
        <v>0</v>
      </c>
    </row>
    <row r="645" customFormat="false" ht="15" hidden="false" customHeight="false" outlineLevel="0" collapsed="false">
      <c r="A645" s="2" t="s">
        <v>20</v>
      </c>
      <c r="B645" s="2" t="n">
        <v>3</v>
      </c>
      <c r="C645" s="9" t="n">
        <v>46265</v>
      </c>
      <c r="D645" s="2" t="n">
        <v>4</v>
      </c>
      <c r="E645" s="2" t="s">
        <v>35</v>
      </c>
      <c r="F645" s="2" t="s">
        <v>36</v>
      </c>
      <c r="G645" s="2" t="s">
        <v>37</v>
      </c>
      <c r="H645" s="2" t="s">
        <v>38</v>
      </c>
      <c r="I645" s="2" t="s">
        <v>39</v>
      </c>
      <c r="J645" s="2" t="n">
        <v>21</v>
      </c>
      <c r="K645" s="32" t="s">
        <v>105</v>
      </c>
      <c r="L645" s="15" t="n">
        <f aca="false">SUM(V645:AB645)</f>
        <v>0.00754296396126909</v>
      </c>
      <c r="M645" s="15" t="n">
        <f aca="false">MAX(O645:U645)</f>
        <v>9.8</v>
      </c>
      <c r="N645" s="15" t="n">
        <f aca="false">COUNTIF(M645,"&gt;9.9")</f>
        <v>0</v>
      </c>
      <c r="O645" s="2" t="n">
        <v>9.8</v>
      </c>
      <c r="V645" s="15" t="n">
        <f aca="false">PI()*POWER((O645/200),2)</f>
        <v>0.00754296396126909</v>
      </c>
      <c r="W645" s="15" t="n">
        <f aca="false">PI()*POWER((P645/200),2)</f>
        <v>0</v>
      </c>
      <c r="X645" s="15" t="n">
        <f aca="false">PI()*POWER((Q645/200),2)</f>
        <v>0</v>
      </c>
      <c r="Y645" s="15" t="n">
        <f aca="false">PI()*POWER((R645/200),2)</f>
        <v>0</v>
      </c>
      <c r="Z645" s="15" t="n">
        <f aca="false">PI()*POWER((S645/200),2)</f>
        <v>0</v>
      </c>
      <c r="AA645" s="15" t="n">
        <f aca="false">PI()*POWER((T645/200),2)</f>
        <v>0</v>
      </c>
      <c r="AB645" s="15" t="n">
        <f aca="false">PI()*POWER((U645/200),2)</f>
        <v>0</v>
      </c>
    </row>
    <row r="646" customFormat="false" ht="15" hidden="false" customHeight="false" outlineLevel="0" collapsed="false">
      <c r="A646" s="2" t="s">
        <v>20</v>
      </c>
      <c r="B646" s="2" t="n">
        <v>3</v>
      </c>
      <c r="C646" s="9" t="n">
        <v>46265</v>
      </c>
      <c r="D646" s="2" t="n">
        <v>4</v>
      </c>
      <c r="E646" s="2" t="s">
        <v>35</v>
      </c>
      <c r="F646" s="2" t="s">
        <v>36</v>
      </c>
      <c r="G646" s="2" t="s">
        <v>37</v>
      </c>
      <c r="H646" s="2" t="s">
        <v>38</v>
      </c>
      <c r="I646" s="2" t="s">
        <v>39</v>
      </c>
      <c r="J646" s="2" t="n">
        <v>14</v>
      </c>
      <c r="K646" s="32" t="s">
        <v>105</v>
      </c>
      <c r="L646" s="15" t="n">
        <f aca="false">SUM(V646:AB646)</f>
        <v>0.00785398163397448</v>
      </c>
      <c r="M646" s="15" t="n">
        <f aca="false">MAX(O646:U646)</f>
        <v>10</v>
      </c>
      <c r="N646" s="15" t="n">
        <f aca="false">COUNTIF(M646,"&gt;9.9")</f>
        <v>1</v>
      </c>
      <c r="O646" s="2" t="n">
        <v>10</v>
      </c>
      <c r="V646" s="15" t="n">
        <f aca="false">PI()*POWER((O646/200),2)</f>
        <v>0.00785398163397448</v>
      </c>
      <c r="W646" s="15" t="n">
        <f aca="false">PI()*POWER((P646/200),2)</f>
        <v>0</v>
      </c>
      <c r="X646" s="15" t="n">
        <f aca="false">PI()*POWER((Q646/200),2)</f>
        <v>0</v>
      </c>
      <c r="Y646" s="15" t="n">
        <f aca="false">PI()*POWER((R646/200),2)</f>
        <v>0</v>
      </c>
      <c r="Z646" s="15" t="n">
        <f aca="false">PI()*POWER((S646/200),2)</f>
        <v>0</v>
      </c>
      <c r="AA646" s="15" t="n">
        <f aca="false">PI()*POWER((T646/200),2)</f>
        <v>0</v>
      </c>
      <c r="AB646" s="15" t="n">
        <f aca="false">PI()*POWER((U646/200),2)</f>
        <v>0</v>
      </c>
    </row>
    <row r="647" customFormat="false" ht="15" hidden="false" customHeight="false" outlineLevel="0" collapsed="false">
      <c r="A647" s="2" t="s">
        <v>20</v>
      </c>
      <c r="B647" s="2" t="n">
        <v>3</v>
      </c>
      <c r="C647" s="9" t="n">
        <v>46265</v>
      </c>
      <c r="D647" s="2" t="n">
        <v>4</v>
      </c>
      <c r="E647" s="2" t="s">
        <v>35</v>
      </c>
      <c r="F647" s="2" t="s">
        <v>36</v>
      </c>
      <c r="G647" s="2" t="s">
        <v>37</v>
      </c>
      <c r="H647" s="2" t="s">
        <v>38</v>
      </c>
      <c r="I647" s="2" t="s">
        <v>39</v>
      </c>
      <c r="J647" s="2" t="n">
        <v>37</v>
      </c>
      <c r="K647" s="32" t="s">
        <v>105</v>
      </c>
      <c r="L647" s="15" t="n">
        <f aca="false">SUM(V647:AB647)</f>
        <v>0.00865901475145687</v>
      </c>
      <c r="M647" s="15" t="n">
        <f aca="false">MAX(O647:U647)</f>
        <v>10.5</v>
      </c>
      <c r="N647" s="15" t="n">
        <f aca="false">COUNTIF(M647,"&gt;9.9")</f>
        <v>1</v>
      </c>
      <c r="O647" s="2" t="n">
        <v>10.5</v>
      </c>
      <c r="V647" s="15" t="n">
        <f aca="false">PI()*POWER((O647/200),2)</f>
        <v>0.00865901475145687</v>
      </c>
      <c r="W647" s="15" t="n">
        <f aca="false">PI()*POWER((P647/200),2)</f>
        <v>0</v>
      </c>
      <c r="X647" s="15" t="n">
        <f aca="false">PI()*POWER((Q647/200),2)</f>
        <v>0</v>
      </c>
      <c r="Y647" s="15" t="n">
        <f aca="false">PI()*POWER((R647/200),2)</f>
        <v>0</v>
      </c>
      <c r="Z647" s="15" t="n">
        <f aca="false">PI()*POWER((S647/200),2)</f>
        <v>0</v>
      </c>
      <c r="AA647" s="15" t="n">
        <f aca="false">PI()*POWER((T647/200),2)</f>
        <v>0</v>
      </c>
      <c r="AB647" s="15" t="n">
        <f aca="false">PI()*POWER((U647/200),2)</f>
        <v>0</v>
      </c>
    </row>
    <row r="648" customFormat="false" ht="15" hidden="false" customHeight="false" outlineLevel="0" collapsed="false">
      <c r="A648" s="2" t="s">
        <v>20</v>
      </c>
      <c r="B648" s="2" t="n">
        <v>3</v>
      </c>
      <c r="C648" s="9" t="n">
        <v>46265</v>
      </c>
      <c r="D648" s="2" t="n">
        <v>4</v>
      </c>
      <c r="E648" s="2" t="s">
        <v>35</v>
      </c>
      <c r="F648" s="2" t="s">
        <v>36</v>
      </c>
      <c r="G648" s="2" t="s">
        <v>37</v>
      </c>
      <c r="H648" s="2" t="s">
        <v>38</v>
      </c>
      <c r="I648" s="2" t="s">
        <v>39</v>
      </c>
      <c r="J648" s="2" t="n">
        <v>52</v>
      </c>
      <c r="K648" s="32" t="s">
        <v>105</v>
      </c>
      <c r="L648" s="15" t="n">
        <f aca="false">SUM(V648:AB648)</f>
        <v>0.00950331777710912</v>
      </c>
      <c r="M648" s="15" t="n">
        <f aca="false">MAX(O648:U648)</f>
        <v>11</v>
      </c>
      <c r="N648" s="15" t="n">
        <f aca="false">COUNTIF(M648,"&gt;9.9")</f>
        <v>1</v>
      </c>
      <c r="O648" s="2" t="n">
        <v>11</v>
      </c>
      <c r="V648" s="15" t="n">
        <f aca="false">PI()*POWER((O648/200),2)</f>
        <v>0.00950331777710912</v>
      </c>
      <c r="W648" s="15" t="n">
        <f aca="false">PI()*POWER((P648/200),2)</f>
        <v>0</v>
      </c>
      <c r="X648" s="15" t="n">
        <f aca="false">PI()*POWER((Q648/200),2)</f>
        <v>0</v>
      </c>
      <c r="Y648" s="15" t="n">
        <f aca="false">PI()*POWER((R648/200),2)</f>
        <v>0</v>
      </c>
      <c r="Z648" s="15" t="n">
        <f aca="false">PI()*POWER((S648/200),2)</f>
        <v>0</v>
      </c>
      <c r="AA648" s="15" t="n">
        <f aca="false">PI()*POWER((T648/200),2)</f>
        <v>0</v>
      </c>
      <c r="AB648" s="15" t="n">
        <f aca="false">PI()*POWER((U648/200),2)</f>
        <v>0</v>
      </c>
    </row>
    <row r="649" customFormat="false" ht="15" hidden="false" customHeight="false" outlineLevel="0" collapsed="false">
      <c r="A649" s="2" t="s">
        <v>20</v>
      </c>
      <c r="B649" s="2" t="n">
        <v>3</v>
      </c>
      <c r="C649" s="9" t="n">
        <v>46265</v>
      </c>
      <c r="D649" s="2" t="n">
        <v>4</v>
      </c>
      <c r="E649" s="2" t="s">
        <v>35</v>
      </c>
      <c r="F649" s="2" t="s">
        <v>36</v>
      </c>
      <c r="G649" s="2" t="s">
        <v>37</v>
      </c>
      <c r="H649" s="2" t="s">
        <v>38</v>
      </c>
      <c r="I649" s="2" t="s">
        <v>39</v>
      </c>
      <c r="J649" s="2" t="n">
        <v>16</v>
      </c>
      <c r="K649" s="32" t="s">
        <v>105</v>
      </c>
      <c r="L649" s="15" t="n">
        <f aca="false">SUM(V649:AB649)</f>
        <v>0.0103868907109313</v>
      </c>
      <c r="M649" s="15" t="n">
        <f aca="false">MAX(O649:U649)</f>
        <v>11.5</v>
      </c>
      <c r="N649" s="15" t="n">
        <f aca="false">COUNTIF(M649,"&gt;9.9")</f>
        <v>1</v>
      </c>
      <c r="O649" s="2" t="n">
        <v>11.5</v>
      </c>
      <c r="V649" s="15" t="n">
        <f aca="false">PI()*POWER((O649/200),2)</f>
        <v>0.0103868907109313</v>
      </c>
      <c r="W649" s="15" t="n">
        <f aca="false">PI()*POWER((P649/200),2)</f>
        <v>0</v>
      </c>
      <c r="X649" s="15" t="n">
        <f aca="false">PI()*POWER((Q649/200),2)</f>
        <v>0</v>
      </c>
      <c r="Y649" s="15" t="n">
        <f aca="false">PI()*POWER((R649/200),2)</f>
        <v>0</v>
      </c>
      <c r="Z649" s="15" t="n">
        <f aca="false">PI()*POWER((S649/200),2)</f>
        <v>0</v>
      </c>
      <c r="AA649" s="15" t="n">
        <f aca="false">PI()*POWER((T649/200),2)</f>
        <v>0</v>
      </c>
      <c r="AB649" s="15" t="n">
        <f aca="false">PI()*POWER((U649/200),2)</f>
        <v>0</v>
      </c>
    </row>
    <row r="650" customFormat="false" ht="15" hidden="false" customHeight="false" outlineLevel="0" collapsed="false">
      <c r="A650" s="2" t="s">
        <v>20</v>
      </c>
      <c r="B650" s="2" t="n">
        <v>3</v>
      </c>
      <c r="C650" s="9" t="n">
        <v>46265</v>
      </c>
      <c r="D650" s="2" t="n">
        <v>4</v>
      </c>
      <c r="E650" s="2" t="s">
        <v>35</v>
      </c>
      <c r="F650" s="2" t="s">
        <v>36</v>
      </c>
      <c r="G650" s="2" t="s">
        <v>37</v>
      </c>
      <c r="H650" s="2" t="s">
        <v>38</v>
      </c>
      <c r="I650" s="2" t="s">
        <v>39</v>
      </c>
      <c r="J650" s="2" t="n">
        <v>43</v>
      </c>
      <c r="K650" s="32" t="s">
        <v>105</v>
      </c>
      <c r="L650" s="15" t="n">
        <f aca="false">SUM(V650:AB650)</f>
        <v>0.011499014510302</v>
      </c>
      <c r="M650" s="15" t="n">
        <f aca="false">MAX(O650:U650)</f>
        <v>12.1</v>
      </c>
      <c r="N650" s="15" t="n">
        <f aca="false">COUNTIF(M650,"&gt;9.9")</f>
        <v>1</v>
      </c>
      <c r="O650" s="2" t="n">
        <v>12.1</v>
      </c>
      <c r="V650" s="15" t="n">
        <f aca="false">PI()*POWER((O650/200),2)</f>
        <v>0.011499014510302</v>
      </c>
      <c r="W650" s="15" t="n">
        <f aca="false">PI()*POWER((P650/200),2)</f>
        <v>0</v>
      </c>
      <c r="X650" s="15" t="n">
        <f aca="false">PI()*POWER((Q650/200),2)</f>
        <v>0</v>
      </c>
      <c r="Y650" s="15" t="n">
        <f aca="false">PI()*POWER((R650/200),2)</f>
        <v>0</v>
      </c>
      <c r="Z650" s="15" t="n">
        <f aca="false">PI()*POWER((S650/200),2)</f>
        <v>0</v>
      </c>
      <c r="AA650" s="15" t="n">
        <f aca="false">PI()*POWER((T650/200),2)</f>
        <v>0</v>
      </c>
      <c r="AB650" s="15" t="n">
        <f aca="false">PI()*POWER((U650/200),2)</f>
        <v>0</v>
      </c>
    </row>
    <row r="651" customFormat="false" ht="15" hidden="false" customHeight="false" outlineLevel="0" collapsed="false">
      <c r="A651" s="2" t="s">
        <v>20</v>
      </c>
      <c r="B651" s="2" t="n">
        <v>3</v>
      </c>
      <c r="C651" s="9" t="n">
        <v>46265</v>
      </c>
      <c r="D651" s="2" t="n">
        <v>4</v>
      </c>
      <c r="E651" s="2" t="s">
        <v>35</v>
      </c>
      <c r="F651" s="2" t="s">
        <v>36</v>
      </c>
      <c r="G651" s="2" t="s">
        <v>37</v>
      </c>
      <c r="H651" s="2" t="s">
        <v>38</v>
      </c>
      <c r="I651" s="2" t="s">
        <v>39</v>
      </c>
      <c r="J651" s="2" t="n">
        <v>35</v>
      </c>
      <c r="K651" s="32" t="s">
        <v>105</v>
      </c>
      <c r="L651" s="15" t="n">
        <f aca="false">SUM(V651:AB651)</f>
        <v>0.0116898662640076</v>
      </c>
      <c r="M651" s="15" t="n">
        <f aca="false">MAX(O651:U651)</f>
        <v>12.2</v>
      </c>
      <c r="N651" s="15" t="n">
        <f aca="false">COUNTIF(M651,"&gt;9.9")</f>
        <v>1</v>
      </c>
      <c r="O651" s="2" t="n">
        <v>12.2</v>
      </c>
      <c r="V651" s="15" t="n">
        <f aca="false">PI()*POWER((O651/200),2)</f>
        <v>0.0116898662640076</v>
      </c>
      <c r="W651" s="15" t="n">
        <f aca="false">PI()*POWER((P651/200),2)</f>
        <v>0</v>
      </c>
      <c r="X651" s="15" t="n">
        <f aca="false">PI()*POWER((Q651/200),2)</f>
        <v>0</v>
      </c>
      <c r="Y651" s="15" t="n">
        <f aca="false">PI()*POWER((R651/200),2)</f>
        <v>0</v>
      </c>
      <c r="Z651" s="15" t="n">
        <f aca="false">PI()*POWER((S651/200),2)</f>
        <v>0</v>
      </c>
      <c r="AA651" s="15" t="n">
        <f aca="false">PI()*POWER((T651/200),2)</f>
        <v>0</v>
      </c>
      <c r="AB651" s="15" t="n">
        <f aca="false">PI()*POWER((U651/200),2)</f>
        <v>0</v>
      </c>
    </row>
    <row r="652" customFormat="false" ht="15" hidden="false" customHeight="false" outlineLevel="0" collapsed="false">
      <c r="A652" s="2" t="s">
        <v>20</v>
      </c>
      <c r="B652" s="2" t="n">
        <v>3</v>
      </c>
      <c r="C652" s="9" t="n">
        <v>46265</v>
      </c>
      <c r="D652" s="2" t="n">
        <v>4</v>
      </c>
      <c r="E652" s="2" t="s">
        <v>35</v>
      </c>
      <c r="F652" s="2" t="s">
        <v>36</v>
      </c>
      <c r="G652" s="2" t="s">
        <v>37</v>
      </c>
      <c r="H652" s="2" t="s">
        <v>38</v>
      </c>
      <c r="I652" s="2" t="s">
        <v>39</v>
      </c>
      <c r="J652" s="2" t="n">
        <v>49</v>
      </c>
      <c r="K652" s="32" t="s">
        <v>105</v>
      </c>
      <c r="L652" s="15" t="n">
        <f aca="false">SUM(V652:AB652)</f>
        <v>0.0122718463030851</v>
      </c>
      <c r="M652" s="15" t="n">
        <f aca="false">MAX(O652:U652)</f>
        <v>12.5</v>
      </c>
      <c r="N652" s="15" t="n">
        <f aca="false">COUNTIF(M652,"&gt;9.9")</f>
        <v>1</v>
      </c>
      <c r="O652" s="2" t="n">
        <v>12.5</v>
      </c>
      <c r="V652" s="15" t="n">
        <f aca="false">PI()*POWER((O652/200),2)</f>
        <v>0.0122718463030851</v>
      </c>
      <c r="W652" s="15" t="n">
        <f aca="false">PI()*POWER((P652/200),2)</f>
        <v>0</v>
      </c>
      <c r="X652" s="15" t="n">
        <f aca="false">PI()*POWER((Q652/200),2)</f>
        <v>0</v>
      </c>
      <c r="Y652" s="15" t="n">
        <f aca="false">PI()*POWER((R652/200),2)</f>
        <v>0</v>
      </c>
      <c r="Z652" s="15" t="n">
        <f aca="false">PI()*POWER((S652/200),2)</f>
        <v>0</v>
      </c>
      <c r="AA652" s="15" t="n">
        <f aca="false">PI()*POWER((T652/200),2)</f>
        <v>0</v>
      </c>
      <c r="AB652" s="15" t="n">
        <f aca="false">PI()*POWER((U652/200),2)</f>
        <v>0</v>
      </c>
    </row>
    <row r="653" customFormat="false" ht="15" hidden="false" customHeight="false" outlineLevel="0" collapsed="false">
      <c r="A653" s="2" t="s">
        <v>20</v>
      </c>
      <c r="B653" s="2" t="n">
        <v>3</v>
      </c>
      <c r="C653" s="9" t="n">
        <v>46265</v>
      </c>
      <c r="D653" s="2" t="n">
        <v>4</v>
      </c>
      <c r="E653" s="2" t="s">
        <v>35</v>
      </c>
      <c r="F653" s="2" t="s">
        <v>36</v>
      </c>
      <c r="G653" s="2" t="s">
        <v>37</v>
      </c>
      <c r="H653" s="2" t="s">
        <v>38</v>
      </c>
      <c r="I653" s="2" t="s">
        <v>39</v>
      </c>
      <c r="J653" s="2" t="n">
        <v>47</v>
      </c>
      <c r="K653" s="32" t="s">
        <v>105</v>
      </c>
      <c r="L653" s="15" t="n">
        <f aca="false">SUM(V653:AB653)</f>
        <v>0.0130698108370969</v>
      </c>
      <c r="M653" s="15" t="n">
        <f aca="false">MAX(O653:U653)</f>
        <v>12.9</v>
      </c>
      <c r="N653" s="15" t="n">
        <f aca="false">COUNTIF(M653,"&gt;9.9")</f>
        <v>1</v>
      </c>
      <c r="O653" s="2" t="n">
        <v>12.9</v>
      </c>
      <c r="V653" s="15" t="n">
        <f aca="false">PI()*POWER((O653/200),2)</f>
        <v>0.0130698108370969</v>
      </c>
      <c r="W653" s="15" t="n">
        <f aca="false">PI()*POWER((P653/200),2)</f>
        <v>0</v>
      </c>
      <c r="X653" s="15" t="n">
        <f aca="false">PI()*POWER((Q653/200),2)</f>
        <v>0</v>
      </c>
      <c r="Y653" s="15" t="n">
        <f aca="false">PI()*POWER((R653/200),2)</f>
        <v>0</v>
      </c>
      <c r="Z653" s="15" t="n">
        <f aca="false">PI()*POWER((S653/200),2)</f>
        <v>0</v>
      </c>
      <c r="AA653" s="15" t="n">
        <f aca="false">PI()*POWER((T653/200),2)</f>
        <v>0</v>
      </c>
      <c r="AB653" s="15" t="n">
        <f aca="false">PI()*POWER((U653/200),2)</f>
        <v>0</v>
      </c>
    </row>
    <row r="654" customFormat="false" ht="15" hidden="false" customHeight="false" outlineLevel="0" collapsed="false">
      <c r="A654" s="2" t="s">
        <v>20</v>
      </c>
      <c r="B654" s="2" t="n">
        <v>3</v>
      </c>
      <c r="C654" s="9" t="n">
        <v>46265</v>
      </c>
      <c r="D654" s="2" t="n">
        <v>4</v>
      </c>
      <c r="E654" s="2" t="s">
        <v>35</v>
      </c>
      <c r="F654" s="2" t="s">
        <v>36</v>
      </c>
      <c r="G654" s="2" t="s">
        <v>37</v>
      </c>
      <c r="H654" s="2" t="s">
        <v>38</v>
      </c>
      <c r="I654" s="2" t="s">
        <v>39</v>
      </c>
      <c r="J654" s="2" t="n">
        <v>24</v>
      </c>
      <c r="K654" s="32" t="s">
        <v>105</v>
      </c>
      <c r="L654" s="15" t="n">
        <f aca="false">SUM(V654:AB654)</f>
        <v>0.0132732289614169</v>
      </c>
      <c r="M654" s="15" t="n">
        <f aca="false">MAX(O654:U654)</f>
        <v>13</v>
      </c>
      <c r="N654" s="15" t="n">
        <f aca="false">COUNTIF(M654,"&gt;9.9")</f>
        <v>1</v>
      </c>
      <c r="O654" s="2" t="n">
        <v>13</v>
      </c>
      <c r="V654" s="15" t="n">
        <f aca="false">PI()*POWER((O654/200),2)</f>
        <v>0.0132732289614169</v>
      </c>
      <c r="W654" s="15" t="n">
        <f aca="false">PI()*POWER((P654/200),2)</f>
        <v>0</v>
      </c>
      <c r="X654" s="15" t="n">
        <f aca="false">PI()*POWER((Q654/200),2)</f>
        <v>0</v>
      </c>
      <c r="Y654" s="15" t="n">
        <f aca="false">PI()*POWER((R654/200),2)</f>
        <v>0</v>
      </c>
      <c r="Z654" s="15" t="n">
        <f aca="false">PI()*POWER((S654/200),2)</f>
        <v>0</v>
      </c>
      <c r="AA654" s="15" t="n">
        <f aca="false">PI()*POWER((T654/200),2)</f>
        <v>0</v>
      </c>
      <c r="AB654" s="15" t="n">
        <f aca="false">PI()*POWER((U654/200),2)</f>
        <v>0</v>
      </c>
    </row>
    <row r="655" customFormat="false" ht="15" hidden="false" customHeight="false" outlineLevel="0" collapsed="false">
      <c r="A655" s="2" t="s">
        <v>20</v>
      </c>
      <c r="B655" s="2" t="n">
        <v>3</v>
      </c>
      <c r="C655" s="9" t="n">
        <v>46265</v>
      </c>
      <c r="D655" s="2" t="n">
        <v>4</v>
      </c>
      <c r="E655" s="2" t="s">
        <v>35</v>
      </c>
      <c r="F655" s="2" t="s">
        <v>36</v>
      </c>
      <c r="G655" s="2" t="s">
        <v>37</v>
      </c>
      <c r="H655" s="2" t="s">
        <v>38</v>
      </c>
      <c r="I655" s="2" t="s">
        <v>39</v>
      </c>
      <c r="J655" s="2" t="n">
        <v>26</v>
      </c>
      <c r="K655" s="32" t="s">
        <v>105</v>
      </c>
      <c r="L655" s="15" t="n">
        <f aca="false">SUM(V655:AB655)</f>
        <v>0.0132732289614169</v>
      </c>
      <c r="M655" s="15" t="n">
        <f aca="false">MAX(O655:U655)</f>
        <v>13</v>
      </c>
      <c r="N655" s="15" t="n">
        <f aca="false">COUNTIF(M655,"&gt;9.9")</f>
        <v>1</v>
      </c>
      <c r="O655" s="2" t="n">
        <v>13</v>
      </c>
      <c r="V655" s="15" t="n">
        <f aca="false">PI()*POWER((O655/200),2)</f>
        <v>0.0132732289614169</v>
      </c>
      <c r="W655" s="15" t="n">
        <f aca="false">PI()*POWER((P655/200),2)</f>
        <v>0</v>
      </c>
      <c r="X655" s="15" t="n">
        <f aca="false">PI()*POWER((Q655/200),2)</f>
        <v>0</v>
      </c>
      <c r="Y655" s="15" t="n">
        <f aca="false">PI()*POWER((R655/200),2)</f>
        <v>0</v>
      </c>
      <c r="Z655" s="15" t="n">
        <f aca="false">PI()*POWER((S655/200),2)</f>
        <v>0</v>
      </c>
      <c r="AA655" s="15" t="n">
        <f aca="false">PI()*POWER((T655/200),2)</f>
        <v>0</v>
      </c>
      <c r="AB655" s="15" t="n">
        <f aca="false">PI()*POWER((U655/200),2)</f>
        <v>0</v>
      </c>
    </row>
    <row r="656" customFormat="false" ht="15" hidden="false" customHeight="false" outlineLevel="0" collapsed="false">
      <c r="A656" s="2" t="s">
        <v>20</v>
      </c>
      <c r="B656" s="2" t="n">
        <v>3</v>
      </c>
      <c r="C656" s="9" t="n">
        <v>46265</v>
      </c>
      <c r="D656" s="2" t="n">
        <v>4</v>
      </c>
      <c r="E656" s="2" t="s">
        <v>35</v>
      </c>
      <c r="F656" s="2" t="s">
        <v>36</v>
      </c>
      <c r="G656" s="2" t="s">
        <v>37</v>
      </c>
      <c r="H656" s="2" t="s">
        <v>38</v>
      </c>
      <c r="I656" s="2" t="s">
        <v>39</v>
      </c>
      <c r="J656" s="2" t="n">
        <v>10</v>
      </c>
      <c r="K656" s="32" t="s">
        <v>105</v>
      </c>
      <c r="L656" s="15" t="n">
        <f aca="false">SUM(V656:AB656)</f>
        <v>0.0134782178820636</v>
      </c>
      <c r="M656" s="15" t="n">
        <f aca="false">MAX(O656:U656)</f>
        <v>13.1</v>
      </c>
      <c r="N656" s="15" t="n">
        <f aca="false">COUNTIF(M656,"&gt;9.9")</f>
        <v>1</v>
      </c>
      <c r="O656" s="2" t="n">
        <v>13.1</v>
      </c>
      <c r="V656" s="15" t="n">
        <f aca="false">PI()*POWER((O656/200),2)</f>
        <v>0.0134782178820636</v>
      </c>
      <c r="W656" s="15" t="n">
        <f aca="false">PI()*POWER((P656/200),2)</f>
        <v>0</v>
      </c>
      <c r="X656" s="15" t="n">
        <f aca="false">PI()*POWER((Q656/200),2)</f>
        <v>0</v>
      </c>
      <c r="Y656" s="15" t="n">
        <f aca="false">PI()*POWER((R656/200),2)</f>
        <v>0</v>
      </c>
      <c r="Z656" s="15" t="n">
        <f aca="false">PI()*POWER((S656/200),2)</f>
        <v>0</v>
      </c>
      <c r="AA656" s="15" t="n">
        <f aca="false">PI()*POWER((T656/200),2)</f>
        <v>0</v>
      </c>
      <c r="AB656" s="15" t="n">
        <f aca="false">PI()*POWER((U656/200),2)</f>
        <v>0</v>
      </c>
    </row>
    <row r="657" customFormat="false" ht="15" hidden="false" customHeight="false" outlineLevel="0" collapsed="false">
      <c r="A657" s="2" t="s">
        <v>20</v>
      </c>
      <c r="B657" s="2" t="n">
        <v>3</v>
      </c>
      <c r="C657" s="9" t="n">
        <v>46265</v>
      </c>
      <c r="D657" s="2" t="n">
        <v>4</v>
      </c>
      <c r="E657" s="2" t="s">
        <v>35</v>
      </c>
      <c r="F657" s="2" t="s">
        <v>36</v>
      </c>
      <c r="G657" s="2" t="s">
        <v>37</v>
      </c>
      <c r="H657" s="2" t="s">
        <v>38</v>
      </c>
      <c r="I657" s="2" t="s">
        <v>39</v>
      </c>
      <c r="J657" s="2" t="n">
        <v>20</v>
      </c>
      <c r="K657" s="32" t="s">
        <v>105</v>
      </c>
      <c r="L657" s="15" t="n">
        <f aca="false">SUM(V657:AB657)</f>
        <v>0.0208798101739212</v>
      </c>
      <c r="M657" s="15" t="n">
        <f aca="false">MAX(O657:U657)</f>
        <v>15.2</v>
      </c>
      <c r="N657" s="15" t="n">
        <f aca="false">COUNTIF(M657,"&gt;9.9")</f>
        <v>1</v>
      </c>
      <c r="O657" s="2" t="n">
        <v>15.2</v>
      </c>
      <c r="P657" s="2" t="n">
        <v>5.9</v>
      </c>
      <c r="V657" s="15" t="n">
        <f aca="false">PI()*POWER((O657/200),2)</f>
        <v>0.0181458391671346</v>
      </c>
      <c r="W657" s="15" t="n">
        <f aca="false">PI()*POWER((P657/200),2)</f>
        <v>0.00273397100678652</v>
      </c>
      <c r="X657" s="15" t="n">
        <f aca="false">PI()*POWER((Q657/200),2)</f>
        <v>0</v>
      </c>
      <c r="Y657" s="15" t="n">
        <f aca="false">PI()*POWER((R657/200),2)</f>
        <v>0</v>
      </c>
      <c r="Z657" s="15" t="n">
        <f aca="false">PI()*POWER((S657/200),2)</f>
        <v>0</v>
      </c>
      <c r="AA657" s="15" t="n">
        <f aca="false">PI()*POWER((T657/200),2)</f>
        <v>0</v>
      </c>
      <c r="AB657" s="15" t="n">
        <f aca="false">PI()*POWER((U657/200),2)</f>
        <v>0</v>
      </c>
    </row>
    <row r="658" customFormat="false" ht="15" hidden="false" customHeight="false" outlineLevel="0" collapsed="false">
      <c r="A658" s="2" t="s">
        <v>20</v>
      </c>
      <c r="B658" s="2" t="n">
        <v>3</v>
      </c>
      <c r="C658" s="9" t="n">
        <v>46265</v>
      </c>
      <c r="D658" s="2" t="n">
        <v>4</v>
      </c>
      <c r="E658" s="2" t="s">
        <v>35</v>
      </c>
      <c r="F658" s="2" t="s">
        <v>36</v>
      </c>
      <c r="G658" s="2" t="s">
        <v>37</v>
      </c>
      <c r="H658" s="2" t="s">
        <v>38</v>
      </c>
      <c r="I658" s="2" t="s">
        <v>39</v>
      </c>
      <c r="J658" s="2" t="n">
        <v>58</v>
      </c>
      <c r="K658" s="32" t="s">
        <v>105</v>
      </c>
      <c r="L658" s="15" t="n">
        <f aca="false">SUM(V658:AB658)</f>
        <v>0.0183853856069709</v>
      </c>
      <c r="M658" s="15" t="n">
        <f aca="false">MAX(O658:U658)</f>
        <v>15.3</v>
      </c>
      <c r="N658" s="15" t="n">
        <f aca="false">COUNTIF(M658,"&gt;9.9")</f>
        <v>1</v>
      </c>
      <c r="O658" s="2" t="n">
        <v>15.3</v>
      </c>
      <c r="V658" s="15" t="n">
        <f aca="false">PI()*POWER((O658/200),2)</f>
        <v>0.0183853856069709</v>
      </c>
      <c r="W658" s="15" t="n">
        <f aca="false">PI()*POWER((P658/200),2)</f>
        <v>0</v>
      </c>
      <c r="X658" s="15" t="n">
        <f aca="false">PI()*POWER((Q658/200),2)</f>
        <v>0</v>
      </c>
      <c r="Y658" s="15" t="n">
        <f aca="false">PI()*POWER((R658/200),2)</f>
        <v>0</v>
      </c>
      <c r="Z658" s="15" t="n">
        <f aca="false">PI()*POWER((S658/200),2)</f>
        <v>0</v>
      </c>
      <c r="AA658" s="15" t="n">
        <f aca="false">PI()*POWER((T658/200),2)</f>
        <v>0</v>
      </c>
      <c r="AB658" s="15" t="n">
        <f aca="false">PI()*POWER((U658/200),2)</f>
        <v>0</v>
      </c>
    </row>
    <row r="659" customFormat="false" ht="15" hidden="false" customHeight="false" outlineLevel="0" collapsed="false">
      <c r="A659" s="2" t="s">
        <v>20</v>
      </c>
      <c r="B659" s="2" t="n">
        <v>3</v>
      </c>
      <c r="C659" s="9" t="n">
        <v>46265</v>
      </c>
      <c r="D659" s="2" t="n">
        <v>4</v>
      </c>
      <c r="E659" s="2" t="s">
        <v>35</v>
      </c>
      <c r="F659" s="2" t="s">
        <v>36</v>
      </c>
      <c r="G659" s="2" t="s">
        <v>37</v>
      </c>
      <c r="H659" s="2" t="s">
        <v>38</v>
      </c>
      <c r="I659" s="2" t="s">
        <v>39</v>
      </c>
      <c r="J659" s="2" t="n">
        <v>46</v>
      </c>
      <c r="K659" s="32" t="s">
        <v>105</v>
      </c>
      <c r="L659" s="15" t="n">
        <f aca="false">SUM(V659:AB659)</f>
        <v>0.0188691908756237</v>
      </c>
      <c r="M659" s="15" t="n">
        <f aca="false">MAX(O659:U659)</f>
        <v>15.5</v>
      </c>
      <c r="N659" s="15" t="n">
        <f aca="false">COUNTIF(M659,"&gt;9.9")</f>
        <v>1</v>
      </c>
      <c r="O659" s="2" t="n">
        <v>15.5</v>
      </c>
      <c r="V659" s="15" t="n">
        <f aca="false">PI()*POWER((O659/200),2)</f>
        <v>0.0188691908756237</v>
      </c>
      <c r="W659" s="15" t="n">
        <f aca="false">PI()*POWER((P659/200),2)</f>
        <v>0</v>
      </c>
      <c r="X659" s="15" t="n">
        <f aca="false">PI()*POWER((Q659/200),2)</f>
        <v>0</v>
      </c>
      <c r="Y659" s="15" t="n">
        <f aca="false">PI()*POWER((R659/200),2)</f>
        <v>0</v>
      </c>
      <c r="Z659" s="15" t="n">
        <f aca="false">PI()*POWER((S659/200),2)</f>
        <v>0</v>
      </c>
      <c r="AA659" s="15" t="n">
        <f aca="false">PI()*POWER((T659/200),2)</f>
        <v>0</v>
      </c>
      <c r="AB659" s="15" t="n">
        <f aca="false">PI()*POWER((U659/200),2)</f>
        <v>0</v>
      </c>
    </row>
    <row r="660" customFormat="false" ht="15" hidden="false" customHeight="false" outlineLevel="0" collapsed="false">
      <c r="A660" s="2" t="s">
        <v>20</v>
      </c>
      <c r="B660" s="2" t="n">
        <v>3</v>
      </c>
      <c r="C660" s="9" t="n">
        <v>46265</v>
      </c>
      <c r="D660" s="2" t="n">
        <v>4</v>
      </c>
      <c r="E660" s="2" t="s">
        <v>35</v>
      </c>
      <c r="F660" s="2" t="s">
        <v>36</v>
      </c>
      <c r="G660" s="2" t="s">
        <v>37</v>
      </c>
      <c r="H660" s="2" t="s">
        <v>38</v>
      </c>
      <c r="I660" s="2" t="s">
        <v>39</v>
      </c>
      <c r="J660" s="2" t="n">
        <v>60</v>
      </c>
      <c r="K660" s="32" t="s">
        <v>105</v>
      </c>
      <c r="L660" s="15" t="n">
        <f aca="false">SUM(V660:AB660)</f>
        <v>0.0188691908756237</v>
      </c>
      <c r="M660" s="15" t="n">
        <f aca="false">MAX(O660:U660)</f>
        <v>15.5</v>
      </c>
      <c r="N660" s="15" t="n">
        <f aca="false">COUNTIF(M660,"&gt;9.9")</f>
        <v>1</v>
      </c>
      <c r="O660" s="2" t="n">
        <v>15.5</v>
      </c>
      <c r="V660" s="15" t="n">
        <f aca="false">PI()*POWER((O660/200),2)</f>
        <v>0.0188691908756237</v>
      </c>
      <c r="W660" s="15" t="n">
        <f aca="false">PI()*POWER((P660/200),2)</f>
        <v>0</v>
      </c>
      <c r="X660" s="15" t="n">
        <f aca="false">PI()*POWER((Q660/200),2)</f>
        <v>0</v>
      </c>
      <c r="Y660" s="15" t="n">
        <f aca="false">PI()*POWER((R660/200),2)</f>
        <v>0</v>
      </c>
      <c r="Z660" s="15" t="n">
        <f aca="false">PI()*POWER((S660/200),2)</f>
        <v>0</v>
      </c>
      <c r="AA660" s="15" t="n">
        <f aca="false">PI()*POWER((T660/200),2)</f>
        <v>0</v>
      </c>
      <c r="AB660" s="15" t="n">
        <f aca="false">PI()*POWER((U660/200),2)</f>
        <v>0</v>
      </c>
    </row>
    <row r="661" customFormat="false" ht="15" hidden="false" customHeight="false" outlineLevel="0" collapsed="false">
      <c r="A661" s="2" t="s">
        <v>20</v>
      </c>
      <c r="B661" s="2" t="n">
        <v>3</v>
      </c>
      <c r="C661" s="9" t="n">
        <v>46265</v>
      </c>
      <c r="D661" s="2" t="n">
        <v>4</v>
      </c>
      <c r="E661" s="2" t="s">
        <v>35</v>
      </c>
      <c r="F661" s="2" t="s">
        <v>36</v>
      </c>
      <c r="G661" s="2" t="s">
        <v>37</v>
      </c>
      <c r="H661" s="2" t="s">
        <v>38</v>
      </c>
      <c r="I661" s="2" t="s">
        <v>39</v>
      </c>
      <c r="J661" s="2" t="n">
        <v>39</v>
      </c>
      <c r="K661" s="32" t="s">
        <v>105</v>
      </c>
      <c r="L661" s="15" t="n">
        <f aca="false">SUM(V661:AB661)</f>
        <v>0.0232352192659501</v>
      </c>
      <c r="M661" s="15" t="n">
        <f aca="false">MAX(O661:U661)</f>
        <v>17.2</v>
      </c>
      <c r="N661" s="15" t="n">
        <f aca="false">COUNTIF(M661,"&gt;9.9")</f>
        <v>1</v>
      </c>
      <c r="O661" s="2" t="n">
        <v>17.2</v>
      </c>
      <c r="V661" s="15" t="n">
        <f aca="false">PI()*POWER((O661/200),2)</f>
        <v>0.0232352192659501</v>
      </c>
      <c r="W661" s="15" t="n">
        <f aca="false">PI()*POWER((P661/200),2)</f>
        <v>0</v>
      </c>
      <c r="X661" s="15" t="n">
        <f aca="false">PI()*POWER((Q661/200),2)</f>
        <v>0</v>
      </c>
      <c r="Y661" s="15" t="n">
        <f aca="false">PI()*POWER((R661/200),2)</f>
        <v>0</v>
      </c>
      <c r="Z661" s="15" t="n">
        <f aca="false">PI()*POWER((S661/200),2)</f>
        <v>0</v>
      </c>
      <c r="AA661" s="15" t="n">
        <f aca="false">PI()*POWER((T661/200),2)</f>
        <v>0</v>
      </c>
      <c r="AB661" s="15" t="n">
        <f aca="false">PI()*POWER((U661/200),2)</f>
        <v>0</v>
      </c>
    </row>
    <row r="662" customFormat="false" ht="15" hidden="false" customHeight="false" outlineLevel="0" collapsed="false">
      <c r="A662" s="2" t="s">
        <v>20</v>
      </c>
      <c r="B662" s="2" t="n">
        <v>3</v>
      </c>
      <c r="C662" s="9" t="n">
        <v>46265</v>
      </c>
      <c r="D662" s="2" t="n">
        <v>4</v>
      </c>
      <c r="E662" s="2" t="s">
        <v>35</v>
      </c>
      <c r="F662" s="2" t="s">
        <v>36</v>
      </c>
      <c r="G662" s="2" t="s">
        <v>37</v>
      </c>
      <c r="H662" s="2" t="s">
        <v>38</v>
      </c>
      <c r="I662" s="2" t="s">
        <v>39</v>
      </c>
      <c r="J662" s="2" t="n">
        <v>33</v>
      </c>
      <c r="K662" s="32" t="s">
        <v>105</v>
      </c>
      <c r="L662" s="15" t="n">
        <f aca="false">SUM(V662:AB662)</f>
        <v>0.0243284935093994</v>
      </c>
      <c r="M662" s="15" t="n">
        <f aca="false">MAX(O662:U662)</f>
        <v>17.6</v>
      </c>
      <c r="N662" s="15" t="n">
        <f aca="false">COUNTIF(M662,"&gt;9.9")</f>
        <v>1</v>
      </c>
      <c r="O662" s="2" t="n">
        <v>17.6</v>
      </c>
      <c r="V662" s="15" t="n">
        <f aca="false">PI()*POWER((O662/200),2)</f>
        <v>0.0243284935093994</v>
      </c>
      <c r="W662" s="15" t="n">
        <f aca="false">PI()*POWER((P662/200),2)</f>
        <v>0</v>
      </c>
      <c r="X662" s="15" t="n">
        <f aca="false">PI()*POWER((Q662/200),2)</f>
        <v>0</v>
      </c>
      <c r="Y662" s="15" t="n">
        <f aca="false">PI()*POWER((R662/200),2)</f>
        <v>0</v>
      </c>
      <c r="Z662" s="15" t="n">
        <f aca="false">PI()*POWER((S662/200),2)</f>
        <v>0</v>
      </c>
      <c r="AA662" s="15" t="n">
        <f aca="false">PI()*POWER((T662/200),2)</f>
        <v>0</v>
      </c>
      <c r="AB662" s="15" t="n">
        <f aca="false">PI()*POWER((U662/200),2)</f>
        <v>0</v>
      </c>
    </row>
    <row r="663" customFormat="false" ht="15" hidden="false" customHeight="false" outlineLevel="0" collapsed="false">
      <c r="A663" s="2" t="s">
        <v>20</v>
      </c>
      <c r="B663" s="2" t="n">
        <v>3</v>
      </c>
      <c r="C663" s="9" t="n">
        <v>46265</v>
      </c>
      <c r="D663" s="2" t="n">
        <v>4</v>
      </c>
      <c r="E663" s="2" t="s">
        <v>35</v>
      </c>
      <c r="F663" s="2" t="s">
        <v>36</v>
      </c>
      <c r="G663" s="2" t="s">
        <v>37</v>
      </c>
      <c r="H663" s="2" t="s">
        <v>38</v>
      </c>
      <c r="I663" s="2" t="s">
        <v>39</v>
      </c>
      <c r="J663" s="2" t="n">
        <v>38</v>
      </c>
      <c r="K663" s="32" t="s">
        <v>105</v>
      </c>
      <c r="L663" s="15" t="n">
        <f aca="false">SUM(V663:AB663)</f>
        <v>0.0317308711994203</v>
      </c>
      <c r="M663" s="15" t="n">
        <f aca="false">MAX(O663:U663)</f>
        <v>20.1</v>
      </c>
      <c r="N663" s="15" t="n">
        <f aca="false">COUNTIF(M663,"&gt;9.9")</f>
        <v>1</v>
      </c>
      <c r="O663" s="2" t="n">
        <v>20.1</v>
      </c>
      <c r="V663" s="15" t="n">
        <f aca="false">PI()*POWER((O663/200),2)</f>
        <v>0.0317308711994203</v>
      </c>
      <c r="W663" s="15" t="n">
        <f aca="false">PI()*POWER((P663/200),2)</f>
        <v>0</v>
      </c>
      <c r="X663" s="15" t="n">
        <f aca="false">PI()*POWER((Q663/200),2)</f>
        <v>0</v>
      </c>
      <c r="Y663" s="15" t="n">
        <f aca="false">PI()*POWER((R663/200),2)</f>
        <v>0</v>
      </c>
      <c r="Z663" s="15" t="n">
        <f aca="false">PI()*POWER((S663/200),2)</f>
        <v>0</v>
      </c>
      <c r="AA663" s="15" t="n">
        <f aca="false">PI()*POWER((T663/200),2)</f>
        <v>0</v>
      </c>
      <c r="AB663" s="15" t="n">
        <f aca="false">PI()*POWER((U663/200),2)</f>
        <v>0</v>
      </c>
    </row>
    <row r="664" customFormat="false" ht="15" hidden="false" customHeight="false" outlineLevel="0" collapsed="false">
      <c r="A664" s="2" t="s">
        <v>20</v>
      </c>
      <c r="B664" s="2" t="n">
        <v>3</v>
      </c>
      <c r="C664" s="9" t="n">
        <v>46265</v>
      </c>
      <c r="D664" s="2" t="n">
        <v>4</v>
      </c>
      <c r="E664" s="2" t="s">
        <v>35</v>
      </c>
      <c r="F664" s="2" t="s">
        <v>36</v>
      </c>
      <c r="G664" s="2" t="s">
        <v>37</v>
      </c>
      <c r="H664" s="2" t="s">
        <v>38</v>
      </c>
      <c r="I664" s="2" t="s">
        <v>39</v>
      </c>
      <c r="J664" s="2" t="n">
        <v>42</v>
      </c>
      <c r="K664" s="32" t="s">
        <v>105</v>
      </c>
      <c r="L664" s="15" t="n">
        <f aca="false">SUM(V664:AB664)</f>
        <v>0.0317308711994203</v>
      </c>
      <c r="M664" s="15" t="n">
        <f aca="false">MAX(O664:U664)</f>
        <v>20.1</v>
      </c>
      <c r="N664" s="15" t="n">
        <f aca="false">COUNTIF(M664,"&gt;9.9")</f>
        <v>1</v>
      </c>
      <c r="O664" s="2" t="n">
        <v>20.1</v>
      </c>
      <c r="V664" s="15" t="n">
        <f aca="false">PI()*POWER((O664/200),2)</f>
        <v>0.0317308711994203</v>
      </c>
      <c r="W664" s="15" t="n">
        <f aca="false">PI()*POWER((P664/200),2)</f>
        <v>0</v>
      </c>
      <c r="X664" s="15" t="n">
        <f aca="false">PI()*POWER((Q664/200),2)</f>
        <v>0</v>
      </c>
      <c r="Y664" s="15" t="n">
        <f aca="false">PI()*POWER((R664/200),2)</f>
        <v>0</v>
      </c>
      <c r="Z664" s="15" t="n">
        <f aca="false">PI()*POWER((S664/200),2)</f>
        <v>0</v>
      </c>
      <c r="AA664" s="15" t="n">
        <f aca="false">PI()*POWER((T664/200),2)</f>
        <v>0</v>
      </c>
      <c r="AB664" s="15" t="n">
        <f aca="false">PI()*POWER((U664/200),2)</f>
        <v>0</v>
      </c>
    </row>
    <row r="665" customFormat="false" ht="15" hidden="false" customHeight="false" outlineLevel="0" collapsed="false">
      <c r="A665" s="2" t="s">
        <v>20</v>
      </c>
      <c r="B665" s="2" t="n">
        <v>3</v>
      </c>
      <c r="C665" s="9" t="n">
        <v>46265</v>
      </c>
      <c r="D665" s="2" t="n">
        <v>4</v>
      </c>
      <c r="E665" s="2" t="s">
        <v>35</v>
      </c>
      <c r="F665" s="2" t="s">
        <v>36</v>
      </c>
      <c r="G665" s="2" t="s">
        <v>37</v>
      </c>
      <c r="H665" s="2" t="s">
        <v>38</v>
      </c>
      <c r="I665" s="2" t="s">
        <v>39</v>
      </c>
      <c r="J665" s="2" t="n">
        <v>34</v>
      </c>
      <c r="K665" s="32" t="s">
        <v>105</v>
      </c>
      <c r="L665" s="15" t="n">
        <f aca="false">SUM(V665:AB665)</f>
        <v>0.0356327292751788</v>
      </c>
      <c r="M665" s="15" t="n">
        <f aca="false">MAX(O665:U665)</f>
        <v>21.3</v>
      </c>
      <c r="N665" s="15" t="n">
        <f aca="false">COUNTIF(M665,"&gt;9.9")</f>
        <v>1</v>
      </c>
      <c r="O665" s="2" t="n">
        <v>21.3</v>
      </c>
      <c r="V665" s="15" t="n">
        <f aca="false">PI()*POWER((O665/200),2)</f>
        <v>0.0356327292751788</v>
      </c>
      <c r="W665" s="15" t="n">
        <f aca="false">PI()*POWER((P665/200),2)</f>
        <v>0</v>
      </c>
      <c r="X665" s="15" t="n">
        <f aca="false">PI()*POWER((Q665/200),2)</f>
        <v>0</v>
      </c>
      <c r="Y665" s="15" t="n">
        <f aca="false">PI()*POWER((R665/200),2)</f>
        <v>0</v>
      </c>
      <c r="Z665" s="15" t="n">
        <f aca="false">PI()*POWER((S665/200),2)</f>
        <v>0</v>
      </c>
      <c r="AA665" s="15" t="n">
        <f aca="false">PI()*POWER((T665/200),2)</f>
        <v>0</v>
      </c>
      <c r="AB665" s="15" t="n">
        <f aca="false">PI()*POWER((U665/200),2)</f>
        <v>0</v>
      </c>
    </row>
    <row r="666" customFormat="false" ht="15" hidden="false" customHeight="false" outlineLevel="0" collapsed="false">
      <c r="A666" s="2" t="s">
        <v>20</v>
      </c>
      <c r="B666" s="2" t="n">
        <v>3</v>
      </c>
      <c r="C666" s="9" t="n">
        <v>46265</v>
      </c>
      <c r="D666" s="2" t="n">
        <v>4</v>
      </c>
      <c r="E666" s="2" t="s">
        <v>35</v>
      </c>
      <c r="F666" s="2" t="s">
        <v>36</v>
      </c>
      <c r="G666" s="2" t="s">
        <v>37</v>
      </c>
      <c r="H666" s="2" t="s">
        <v>38</v>
      </c>
      <c r="I666" s="2" t="s">
        <v>39</v>
      </c>
      <c r="J666" s="2" t="n">
        <v>95</v>
      </c>
      <c r="K666" s="32" t="s">
        <v>107</v>
      </c>
      <c r="L666" s="15" t="n">
        <f aca="false">SUM(V666:AB666)</f>
        <v>0.00119459060652752</v>
      </c>
      <c r="M666" s="15" t="n">
        <f aca="false">MAX(O666:U666)</f>
        <v>3.9</v>
      </c>
      <c r="N666" s="15" t="n">
        <f aca="false">COUNTIF(M666,"&gt;9.9")</f>
        <v>0</v>
      </c>
      <c r="O666" s="2" t="n">
        <v>3.9</v>
      </c>
      <c r="V666" s="15" t="n">
        <f aca="false">PI()*POWER((O666/200),2)</f>
        <v>0.00119459060652752</v>
      </c>
      <c r="W666" s="15" t="n">
        <f aca="false">PI()*POWER((P666/200),2)</f>
        <v>0</v>
      </c>
      <c r="X666" s="15" t="n">
        <f aca="false">PI()*POWER((Q666/200),2)</f>
        <v>0</v>
      </c>
      <c r="Y666" s="15" t="n">
        <f aca="false">PI()*POWER((R666/200),2)</f>
        <v>0</v>
      </c>
      <c r="Z666" s="15" t="n">
        <f aca="false">PI()*POWER((S666/200),2)</f>
        <v>0</v>
      </c>
      <c r="AA666" s="15" t="n">
        <f aca="false">PI()*POWER((T666/200),2)</f>
        <v>0</v>
      </c>
      <c r="AB666" s="15" t="n">
        <f aca="false">PI()*POWER((U666/200),2)</f>
        <v>0</v>
      </c>
    </row>
    <row r="667" customFormat="false" ht="15" hidden="false" customHeight="false" outlineLevel="0" collapsed="false">
      <c r="A667" s="2" t="s">
        <v>20</v>
      </c>
      <c r="B667" s="2" t="n">
        <v>3</v>
      </c>
      <c r="C667" s="9" t="n">
        <v>46265</v>
      </c>
      <c r="D667" s="2" t="n">
        <v>4</v>
      </c>
      <c r="E667" s="2" t="s">
        <v>35</v>
      </c>
      <c r="F667" s="2" t="s">
        <v>36</v>
      </c>
      <c r="G667" s="2" t="s">
        <v>37</v>
      </c>
      <c r="H667" s="2" t="s">
        <v>38</v>
      </c>
      <c r="I667" s="2" t="s">
        <v>39</v>
      </c>
      <c r="J667" s="2" t="n">
        <v>94</v>
      </c>
      <c r="K667" s="32" t="s">
        <v>107</v>
      </c>
      <c r="L667" s="15" t="n">
        <f aca="false">SUM(V667:AB667)</f>
        <v>0.00125663706143592</v>
      </c>
      <c r="M667" s="15" t="n">
        <f aca="false">MAX(O667:U667)</f>
        <v>4</v>
      </c>
      <c r="N667" s="15" t="n">
        <f aca="false">COUNTIF(M667,"&gt;9.9")</f>
        <v>0</v>
      </c>
      <c r="O667" s="2" t="n">
        <v>4</v>
      </c>
      <c r="V667" s="15" t="n">
        <f aca="false">PI()*POWER((O667/200),2)</f>
        <v>0.00125663706143592</v>
      </c>
      <c r="W667" s="15" t="n">
        <f aca="false">PI()*POWER((P667/200),2)</f>
        <v>0</v>
      </c>
      <c r="X667" s="15" t="n">
        <f aca="false">PI()*POWER((Q667/200),2)</f>
        <v>0</v>
      </c>
      <c r="Y667" s="15" t="n">
        <f aca="false">PI()*POWER((R667/200),2)</f>
        <v>0</v>
      </c>
      <c r="Z667" s="15" t="n">
        <f aca="false">PI()*POWER((S667/200),2)</f>
        <v>0</v>
      </c>
      <c r="AA667" s="15" t="n">
        <f aca="false">PI()*POWER((T667/200),2)</f>
        <v>0</v>
      </c>
      <c r="AB667" s="15" t="n">
        <f aca="false">PI()*POWER((U667/200),2)</f>
        <v>0</v>
      </c>
    </row>
    <row r="668" customFormat="false" ht="15" hidden="false" customHeight="false" outlineLevel="0" collapsed="false">
      <c r="A668" s="2" t="s">
        <v>20</v>
      </c>
      <c r="B668" s="2" t="n">
        <v>3</v>
      </c>
      <c r="C668" s="9" t="n">
        <v>46265</v>
      </c>
      <c r="D668" s="2" t="n">
        <v>4</v>
      </c>
      <c r="E668" s="2" t="s">
        <v>35</v>
      </c>
      <c r="F668" s="2" t="s">
        <v>36</v>
      </c>
      <c r="G668" s="2" t="s">
        <v>37</v>
      </c>
      <c r="H668" s="2" t="s">
        <v>38</v>
      </c>
      <c r="I668" s="2" t="s">
        <v>39</v>
      </c>
      <c r="J668" s="2" t="n">
        <v>93</v>
      </c>
      <c r="K668" s="32" t="s">
        <v>107</v>
      </c>
      <c r="L668" s="15" t="n">
        <f aca="false">SUM(V668:AB668)</f>
        <v>0.00407150407905237</v>
      </c>
      <c r="M668" s="15" t="n">
        <f aca="false">MAX(O668:U668)</f>
        <v>7.2</v>
      </c>
      <c r="N668" s="15" t="n">
        <f aca="false">COUNTIF(M668,"&gt;9.9")</f>
        <v>0</v>
      </c>
      <c r="O668" s="2" t="n">
        <v>7.2</v>
      </c>
      <c r="V668" s="15" t="n">
        <f aca="false">PI()*POWER((O668/200),2)</f>
        <v>0.00407150407905237</v>
      </c>
      <c r="W668" s="15" t="n">
        <f aca="false">PI()*POWER((P668/200),2)</f>
        <v>0</v>
      </c>
      <c r="X668" s="15" t="n">
        <f aca="false">PI()*POWER((Q668/200),2)</f>
        <v>0</v>
      </c>
      <c r="Y668" s="15" t="n">
        <f aca="false">PI()*POWER((R668/200),2)</f>
        <v>0</v>
      </c>
      <c r="Z668" s="15" t="n">
        <f aca="false">PI()*POWER((S668/200),2)</f>
        <v>0</v>
      </c>
      <c r="AA668" s="15" t="n">
        <f aca="false">PI()*POWER((T668/200),2)</f>
        <v>0</v>
      </c>
      <c r="AB668" s="15" t="n">
        <f aca="false">PI()*POWER((U668/200),2)</f>
        <v>0</v>
      </c>
    </row>
    <row r="669" customFormat="false" ht="15" hidden="false" customHeight="false" outlineLevel="0" collapsed="false">
      <c r="A669" s="2" t="s">
        <v>20</v>
      </c>
      <c r="B669" s="2" t="n">
        <v>3</v>
      </c>
      <c r="C669" s="9" t="n">
        <v>46265</v>
      </c>
      <c r="D669" s="2" t="n">
        <v>4</v>
      </c>
      <c r="E669" s="2" t="s">
        <v>35</v>
      </c>
      <c r="F669" s="2" t="s">
        <v>36</v>
      </c>
      <c r="G669" s="2" t="s">
        <v>37</v>
      </c>
      <c r="H669" s="2" t="s">
        <v>38</v>
      </c>
      <c r="I669" s="2" t="s">
        <v>39</v>
      </c>
      <c r="J669" s="2" t="n">
        <v>96</v>
      </c>
      <c r="K669" s="32" t="s">
        <v>107</v>
      </c>
      <c r="L669" s="15" t="n">
        <f aca="false">SUM(V669:AB669)</f>
        <v>0.00441786466911065</v>
      </c>
      <c r="M669" s="15" t="n">
        <f aca="false">MAX(O669:U669)</f>
        <v>7.5</v>
      </c>
      <c r="N669" s="15" t="n">
        <f aca="false">COUNTIF(M669,"&gt;9.9")</f>
        <v>0</v>
      </c>
      <c r="O669" s="2" t="n">
        <v>7.5</v>
      </c>
      <c r="V669" s="15" t="n">
        <f aca="false">PI()*POWER((O669/200),2)</f>
        <v>0.00441786466911065</v>
      </c>
      <c r="W669" s="15" t="n">
        <f aca="false">PI()*POWER((P669/200),2)</f>
        <v>0</v>
      </c>
      <c r="X669" s="15" t="n">
        <f aca="false">PI()*POWER((Q669/200),2)</f>
        <v>0</v>
      </c>
      <c r="Y669" s="15" t="n">
        <f aca="false">PI()*POWER((R669/200),2)</f>
        <v>0</v>
      </c>
      <c r="Z669" s="15" t="n">
        <f aca="false">PI()*POWER((S669/200),2)</f>
        <v>0</v>
      </c>
      <c r="AA669" s="15" t="n">
        <f aca="false">PI()*POWER((T669/200),2)</f>
        <v>0</v>
      </c>
      <c r="AB669" s="15" t="n">
        <f aca="false">PI()*POWER((U669/200),2)</f>
        <v>0</v>
      </c>
    </row>
    <row r="670" customFormat="false" ht="15" hidden="false" customHeight="false" outlineLevel="0" collapsed="false">
      <c r="A670" s="2" t="s">
        <v>20</v>
      </c>
      <c r="B670" s="2" t="n">
        <v>3</v>
      </c>
      <c r="C670" s="9" t="n">
        <v>46265</v>
      </c>
      <c r="D670" s="2" t="n">
        <v>4</v>
      </c>
      <c r="E670" s="2" t="s">
        <v>35</v>
      </c>
      <c r="F670" s="2" t="s">
        <v>36</v>
      </c>
      <c r="G670" s="2" t="s">
        <v>37</v>
      </c>
      <c r="H670" s="2" t="s">
        <v>38</v>
      </c>
      <c r="I670" s="2" t="s">
        <v>39</v>
      </c>
      <c r="J670" s="2" t="n">
        <v>91</v>
      </c>
      <c r="K670" s="32" t="s">
        <v>107</v>
      </c>
      <c r="L670" s="15" t="n">
        <f aca="false">SUM(V670:AB670)</f>
        <v>0.00693977817177985</v>
      </c>
      <c r="M670" s="15" t="n">
        <f aca="false">MAX(O670:U670)</f>
        <v>9.4</v>
      </c>
      <c r="N670" s="15" t="n">
        <f aca="false">COUNTIF(M670,"&gt;9.9")</f>
        <v>0</v>
      </c>
      <c r="O670" s="2" t="n">
        <v>9.4</v>
      </c>
      <c r="V670" s="15" t="n">
        <f aca="false">PI()*POWER((O670/200),2)</f>
        <v>0.00693977817177985</v>
      </c>
      <c r="W670" s="15" t="n">
        <f aca="false">PI()*POWER((P670/200),2)</f>
        <v>0</v>
      </c>
      <c r="X670" s="15" t="n">
        <f aca="false">PI()*POWER((Q670/200),2)</f>
        <v>0</v>
      </c>
      <c r="Y670" s="15" t="n">
        <f aca="false">PI()*POWER((R670/200),2)</f>
        <v>0</v>
      </c>
      <c r="Z670" s="15" t="n">
        <f aca="false">PI()*POWER((S670/200),2)</f>
        <v>0</v>
      </c>
      <c r="AA670" s="15" t="n">
        <f aca="false">PI()*POWER((T670/200),2)</f>
        <v>0</v>
      </c>
      <c r="AB670" s="15" t="n">
        <f aca="false">PI()*POWER((U670/200),2)</f>
        <v>0</v>
      </c>
    </row>
    <row r="671" customFormat="false" ht="15" hidden="false" customHeight="false" outlineLevel="0" collapsed="false">
      <c r="A671" s="2" t="s">
        <v>20</v>
      </c>
      <c r="B671" s="2" t="n">
        <v>3</v>
      </c>
      <c r="C671" s="9" t="n">
        <v>46265</v>
      </c>
      <c r="D671" s="2" t="n">
        <v>4</v>
      </c>
      <c r="E671" s="2" t="s">
        <v>35</v>
      </c>
      <c r="F671" s="2" t="s">
        <v>36</v>
      </c>
      <c r="G671" s="2" t="s">
        <v>37</v>
      </c>
      <c r="H671" s="2" t="s">
        <v>38</v>
      </c>
      <c r="I671" s="2" t="s">
        <v>39</v>
      </c>
      <c r="J671" s="2" t="n">
        <v>92</v>
      </c>
      <c r="K671" s="32" t="s">
        <v>107</v>
      </c>
      <c r="L671" s="15" t="n">
        <f aca="false">SUM(V671:AB671)</f>
        <v>0.01188228881404</v>
      </c>
      <c r="M671" s="15" t="n">
        <f aca="false">MAX(O671:U671)</f>
        <v>12.3</v>
      </c>
      <c r="N671" s="15" t="n">
        <f aca="false">COUNTIF(M671,"&gt;9.9")</f>
        <v>1</v>
      </c>
      <c r="O671" s="2" t="n">
        <v>12.3</v>
      </c>
      <c r="V671" s="15" t="n">
        <f aca="false">PI()*POWER((O671/200),2)</f>
        <v>0.01188228881404</v>
      </c>
      <c r="W671" s="15" t="n">
        <f aca="false">PI()*POWER((P671/200),2)</f>
        <v>0</v>
      </c>
      <c r="X671" s="15" t="n">
        <f aca="false">PI()*POWER((Q671/200),2)</f>
        <v>0</v>
      </c>
      <c r="Y671" s="15" t="n">
        <f aca="false">PI()*POWER((R671/200),2)</f>
        <v>0</v>
      </c>
      <c r="Z671" s="15" t="n">
        <f aca="false">PI()*POWER((S671/200),2)</f>
        <v>0</v>
      </c>
      <c r="AA671" s="15" t="n">
        <f aca="false">PI()*POWER((T671/200),2)</f>
        <v>0</v>
      </c>
      <c r="AB671" s="15" t="n">
        <f aca="false">PI()*POWER((U671/200),2)</f>
        <v>0</v>
      </c>
    </row>
    <row r="672" customFormat="false" ht="15" hidden="false" customHeight="false" outlineLevel="0" collapsed="false">
      <c r="A672" s="2" t="s">
        <v>20</v>
      </c>
      <c r="B672" s="2" t="n">
        <v>3</v>
      </c>
      <c r="C672" s="9" t="n">
        <v>46265</v>
      </c>
      <c r="D672" s="2" t="n">
        <v>4</v>
      </c>
      <c r="E672" s="2" t="s">
        <v>35</v>
      </c>
      <c r="F672" s="2" t="s">
        <v>36</v>
      </c>
      <c r="G672" s="2" t="s">
        <v>37</v>
      </c>
      <c r="H672" s="2" t="s">
        <v>38</v>
      </c>
      <c r="I672" s="2" t="s">
        <v>39</v>
      </c>
      <c r="J672" s="2" t="n">
        <v>88</v>
      </c>
      <c r="K672" s="32" t="s">
        <v>157</v>
      </c>
      <c r="L672" s="15" t="n">
        <f aca="false">SUM(V672:AB672)</f>
        <v>0.000706858347057703</v>
      </c>
      <c r="M672" s="15" t="n">
        <f aca="false">MAX(O672:U672)</f>
        <v>3</v>
      </c>
      <c r="N672" s="15" t="n">
        <f aca="false">COUNTIF(M672,"&gt;9.9")</f>
        <v>0</v>
      </c>
      <c r="O672" s="2" t="n">
        <v>3</v>
      </c>
      <c r="V672" s="15" t="n">
        <f aca="false">PI()*POWER((O672/200),2)</f>
        <v>0.000706858347057703</v>
      </c>
      <c r="W672" s="15" t="n">
        <f aca="false">PI()*POWER((P672/200),2)</f>
        <v>0</v>
      </c>
      <c r="X672" s="15" t="n">
        <f aca="false">PI()*POWER((Q672/200),2)</f>
        <v>0</v>
      </c>
      <c r="Y672" s="15" t="n">
        <f aca="false">PI()*POWER((R672/200),2)</f>
        <v>0</v>
      </c>
      <c r="Z672" s="15" t="n">
        <f aca="false">PI()*POWER((S672/200),2)</f>
        <v>0</v>
      </c>
      <c r="AA672" s="15" t="n">
        <f aca="false">PI()*POWER((T672/200),2)</f>
        <v>0</v>
      </c>
      <c r="AB672" s="15" t="n">
        <f aca="false">PI()*POWER((U672/200),2)</f>
        <v>0</v>
      </c>
    </row>
    <row r="673" customFormat="false" ht="15" hidden="false" customHeight="false" outlineLevel="0" collapsed="false">
      <c r="A673" s="2" t="s">
        <v>20</v>
      </c>
      <c r="B673" s="2" t="n">
        <v>3</v>
      </c>
      <c r="C673" s="9" t="n">
        <v>46265</v>
      </c>
      <c r="D673" s="2" t="n">
        <v>4</v>
      </c>
      <c r="E673" s="2" t="s">
        <v>35</v>
      </c>
      <c r="F673" s="2" t="s">
        <v>36</v>
      </c>
      <c r="G673" s="2" t="s">
        <v>37</v>
      </c>
      <c r="H673" s="2" t="s">
        <v>38</v>
      </c>
      <c r="I673" s="2" t="s">
        <v>39</v>
      </c>
      <c r="J673" s="2" t="n">
        <v>62</v>
      </c>
      <c r="K673" s="32" t="s">
        <v>157</v>
      </c>
      <c r="L673" s="15" t="n">
        <f aca="false">SUM(V673:AB673)</f>
        <v>0.00215199096770901</v>
      </c>
      <c r="M673" s="15" t="n">
        <f aca="false">MAX(O673:U673)</f>
        <v>3.8</v>
      </c>
      <c r="N673" s="15" t="n">
        <f aca="false">COUNTIF(M673,"&gt;9.9")</f>
        <v>0</v>
      </c>
      <c r="O673" s="2" t="n">
        <v>3.6</v>
      </c>
      <c r="P673" s="2" t="n">
        <v>3.8</v>
      </c>
      <c r="V673" s="15" t="n">
        <f aca="false">PI()*POWER((O673/200),2)</f>
        <v>0.00101787601976309</v>
      </c>
      <c r="W673" s="15" t="n">
        <f aca="false">PI()*POWER((P673/200),2)</f>
        <v>0.00113411494794592</v>
      </c>
      <c r="X673" s="15" t="n">
        <f aca="false">PI()*POWER((Q673/200),2)</f>
        <v>0</v>
      </c>
      <c r="Y673" s="15" t="n">
        <f aca="false">PI()*POWER((R673/200),2)</f>
        <v>0</v>
      </c>
      <c r="Z673" s="15" t="n">
        <f aca="false">PI()*POWER((S673/200),2)</f>
        <v>0</v>
      </c>
      <c r="AA673" s="15" t="n">
        <f aca="false">PI()*POWER((T673/200),2)</f>
        <v>0</v>
      </c>
      <c r="AB673" s="15" t="n">
        <f aca="false">PI()*POWER((U673/200),2)</f>
        <v>0</v>
      </c>
    </row>
    <row r="674" customFormat="false" ht="15" hidden="false" customHeight="false" outlineLevel="0" collapsed="false">
      <c r="A674" s="2" t="s">
        <v>20</v>
      </c>
      <c r="B674" s="2" t="n">
        <v>3</v>
      </c>
      <c r="C674" s="9" t="n">
        <v>46265</v>
      </c>
      <c r="D674" s="2" t="n">
        <v>4</v>
      </c>
      <c r="E674" s="2" t="s">
        <v>35</v>
      </c>
      <c r="F674" s="2" t="s">
        <v>36</v>
      </c>
      <c r="G674" s="2" t="s">
        <v>37</v>
      </c>
      <c r="H674" s="2" t="s">
        <v>38</v>
      </c>
      <c r="I674" s="2" t="s">
        <v>39</v>
      </c>
      <c r="J674" s="2" t="n">
        <v>78</v>
      </c>
      <c r="K674" s="32" t="s">
        <v>157</v>
      </c>
      <c r="L674" s="15" t="n">
        <f aca="false">SUM(V674:AB674)</f>
        <v>0.0013854423602331</v>
      </c>
      <c r="M674" s="15" t="n">
        <f aca="false">MAX(O674:U674)</f>
        <v>4.2</v>
      </c>
      <c r="N674" s="15" t="n">
        <f aca="false">COUNTIF(M674,"&gt;9.9")</f>
        <v>0</v>
      </c>
      <c r="O674" s="2" t="n">
        <v>4.2</v>
      </c>
      <c r="V674" s="15" t="n">
        <f aca="false">PI()*POWER((O674/200),2)</f>
        <v>0.0013854423602331</v>
      </c>
      <c r="W674" s="15" t="n">
        <f aca="false">PI()*POWER((P674/200),2)</f>
        <v>0</v>
      </c>
      <c r="X674" s="15" t="n">
        <f aca="false">PI()*POWER((Q674/200),2)</f>
        <v>0</v>
      </c>
      <c r="Y674" s="15" t="n">
        <f aca="false">PI()*POWER((R674/200),2)</f>
        <v>0</v>
      </c>
      <c r="Z674" s="15" t="n">
        <f aca="false">PI()*POWER((S674/200),2)</f>
        <v>0</v>
      </c>
      <c r="AA674" s="15" t="n">
        <f aca="false">PI()*POWER((T674/200),2)</f>
        <v>0</v>
      </c>
      <c r="AB674" s="15" t="n">
        <f aca="false">PI()*POWER((U674/200),2)</f>
        <v>0</v>
      </c>
    </row>
    <row r="675" customFormat="false" ht="15" hidden="false" customHeight="false" outlineLevel="0" collapsed="false">
      <c r="A675" s="2" t="s">
        <v>20</v>
      </c>
      <c r="B675" s="2" t="n">
        <v>3</v>
      </c>
      <c r="C675" s="9" t="n">
        <v>46265</v>
      </c>
      <c r="D675" s="2" t="n">
        <v>4</v>
      </c>
      <c r="E675" s="2" t="s">
        <v>35</v>
      </c>
      <c r="F675" s="2" t="s">
        <v>36</v>
      </c>
      <c r="G675" s="2" t="s">
        <v>37</v>
      </c>
      <c r="H675" s="2" t="s">
        <v>38</v>
      </c>
      <c r="I675" s="2" t="s">
        <v>39</v>
      </c>
      <c r="J675" s="2" t="n">
        <v>67</v>
      </c>
      <c r="K675" s="32" t="s">
        <v>157</v>
      </c>
      <c r="L675" s="15" t="n">
        <f aca="false">SUM(V675:AB675)</f>
        <v>0.00196349540849362</v>
      </c>
      <c r="M675" s="15" t="n">
        <f aca="false">MAX(O675:U675)</f>
        <v>5</v>
      </c>
      <c r="N675" s="15" t="n">
        <f aca="false">COUNTIF(M675,"&gt;9.9")</f>
        <v>0</v>
      </c>
      <c r="O675" s="2" t="n">
        <v>5</v>
      </c>
      <c r="V675" s="15" t="n">
        <f aca="false">PI()*POWER((O675/200),2)</f>
        <v>0.00196349540849362</v>
      </c>
      <c r="W675" s="15" t="n">
        <f aca="false">PI()*POWER((P675/200),2)</f>
        <v>0</v>
      </c>
      <c r="X675" s="15" t="n">
        <f aca="false">PI()*POWER((Q675/200),2)</f>
        <v>0</v>
      </c>
      <c r="Y675" s="15" t="n">
        <f aca="false">PI()*POWER((R675/200),2)</f>
        <v>0</v>
      </c>
      <c r="Z675" s="15" t="n">
        <f aca="false">PI()*POWER((S675/200),2)</f>
        <v>0</v>
      </c>
      <c r="AA675" s="15" t="n">
        <f aca="false">PI()*POWER((T675/200),2)</f>
        <v>0</v>
      </c>
      <c r="AB675" s="15" t="n">
        <f aca="false">PI()*POWER((U675/200),2)</f>
        <v>0</v>
      </c>
    </row>
    <row r="676" customFormat="false" ht="15" hidden="false" customHeight="false" outlineLevel="0" collapsed="false">
      <c r="A676" s="2" t="s">
        <v>20</v>
      </c>
      <c r="B676" s="2" t="n">
        <v>3</v>
      </c>
      <c r="C676" s="9" t="n">
        <v>46265</v>
      </c>
      <c r="D676" s="2" t="n">
        <v>4</v>
      </c>
      <c r="E676" s="2" t="s">
        <v>35</v>
      </c>
      <c r="F676" s="2" t="s">
        <v>36</v>
      </c>
      <c r="G676" s="2" t="s">
        <v>37</v>
      </c>
      <c r="H676" s="2" t="s">
        <v>38</v>
      </c>
      <c r="I676" s="2" t="s">
        <v>39</v>
      </c>
      <c r="J676" s="2" t="n">
        <v>84</v>
      </c>
      <c r="K676" s="32" t="s">
        <v>157</v>
      </c>
      <c r="L676" s="15" t="n">
        <f aca="false">SUM(V676:AB676)</f>
        <v>0.00196349540849362</v>
      </c>
      <c r="M676" s="15" t="n">
        <f aca="false">MAX(O676:U676)</f>
        <v>5</v>
      </c>
      <c r="N676" s="15" t="n">
        <f aca="false">COUNTIF(M676,"&gt;9.9")</f>
        <v>0</v>
      </c>
      <c r="O676" s="2" t="n">
        <v>5</v>
      </c>
      <c r="V676" s="15" t="n">
        <f aca="false">PI()*POWER((O676/200),2)</f>
        <v>0.00196349540849362</v>
      </c>
      <c r="W676" s="15" t="n">
        <f aca="false">PI()*POWER((P676/200),2)</f>
        <v>0</v>
      </c>
      <c r="X676" s="15" t="n">
        <f aca="false">PI()*POWER((Q676/200),2)</f>
        <v>0</v>
      </c>
      <c r="Y676" s="15" t="n">
        <f aca="false">PI()*POWER((R676/200),2)</f>
        <v>0</v>
      </c>
      <c r="Z676" s="15" t="n">
        <f aca="false">PI()*POWER((S676/200),2)</f>
        <v>0</v>
      </c>
      <c r="AA676" s="15" t="n">
        <f aca="false">PI()*POWER((T676/200),2)</f>
        <v>0</v>
      </c>
      <c r="AB676" s="15" t="n">
        <f aca="false">PI()*POWER((U676/200),2)</f>
        <v>0</v>
      </c>
    </row>
    <row r="677" customFormat="false" ht="15" hidden="false" customHeight="false" outlineLevel="0" collapsed="false">
      <c r="A677" s="2" t="s">
        <v>20</v>
      </c>
      <c r="B677" s="2" t="n">
        <v>3</v>
      </c>
      <c r="C677" s="9" t="n">
        <v>46265</v>
      </c>
      <c r="D677" s="2" t="n">
        <v>4</v>
      </c>
      <c r="E677" s="2" t="s">
        <v>35</v>
      </c>
      <c r="F677" s="2" t="s">
        <v>36</v>
      </c>
      <c r="G677" s="2" t="s">
        <v>37</v>
      </c>
      <c r="H677" s="2" t="s">
        <v>38</v>
      </c>
      <c r="I677" s="2" t="s">
        <v>39</v>
      </c>
      <c r="J677" s="2" t="n">
        <v>71</v>
      </c>
      <c r="K677" s="32" t="s">
        <v>157</v>
      </c>
      <c r="L677" s="15" t="n">
        <f aca="false">SUM(V677:AB677)</f>
        <v>0.00243787589918568</v>
      </c>
      <c r="M677" s="15" t="n">
        <f aca="false">MAX(O677:U677)</f>
        <v>5.2</v>
      </c>
      <c r="N677" s="15" t="n">
        <f aca="false">COUNTIF(M677,"&gt;9.9")</f>
        <v>0</v>
      </c>
      <c r="O677" s="2" t="n">
        <v>5.2</v>
      </c>
      <c r="P677" s="2" t="n">
        <v>2</v>
      </c>
      <c r="V677" s="15" t="n">
        <f aca="false">PI()*POWER((O677/200),2)</f>
        <v>0.0021237166338267</v>
      </c>
      <c r="W677" s="15" t="n">
        <f aca="false">PI()*POWER((P677/200),2)</f>
        <v>0.000314159265358979</v>
      </c>
      <c r="X677" s="15" t="n">
        <f aca="false">PI()*POWER((Q677/200),2)</f>
        <v>0</v>
      </c>
      <c r="Y677" s="15" t="n">
        <f aca="false">PI()*POWER((R677/200),2)</f>
        <v>0</v>
      </c>
      <c r="Z677" s="15" t="n">
        <f aca="false">PI()*POWER((S677/200),2)</f>
        <v>0</v>
      </c>
      <c r="AA677" s="15" t="n">
        <f aca="false">PI()*POWER((T677/200),2)</f>
        <v>0</v>
      </c>
      <c r="AB677" s="15" t="n">
        <f aca="false">PI()*POWER((U677/200),2)</f>
        <v>0</v>
      </c>
    </row>
    <row r="678" customFormat="false" ht="15" hidden="false" customHeight="false" outlineLevel="0" collapsed="false">
      <c r="A678" s="2" t="s">
        <v>20</v>
      </c>
      <c r="B678" s="2" t="n">
        <v>3</v>
      </c>
      <c r="C678" s="9" t="n">
        <v>46265</v>
      </c>
      <c r="D678" s="2" t="n">
        <v>4</v>
      </c>
      <c r="E678" s="2" t="s">
        <v>35</v>
      </c>
      <c r="F678" s="2" t="s">
        <v>36</v>
      </c>
      <c r="G678" s="2" t="s">
        <v>37</v>
      </c>
      <c r="H678" s="2" t="s">
        <v>38</v>
      </c>
      <c r="I678" s="2" t="s">
        <v>39</v>
      </c>
      <c r="J678" s="2" t="n">
        <v>81</v>
      </c>
      <c r="K678" s="32" t="s">
        <v>157</v>
      </c>
      <c r="L678" s="15" t="n">
        <f aca="false">SUM(V678:AB678)</f>
        <v>0.0042474332676534</v>
      </c>
      <c r="M678" s="15" t="n">
        <f aca="false">MAX(O678:U678)</f>
        <v>5.2</v>
      </c>
      <c r="N678" s="15" t="n">
        <f aca="false">COUNTIF(M678,"&gt;9.9")</f>
        <v>0</v>
      </c>
      <c r="O678" s="2" t="n">
        <v>5.2</v>
      </c>
      <c r="P678" s="2" t="n">
        <v>5.2</v>
      </c>
      <c r="V678" s="15" t="n">
        <f aca="false">PI()*POWER((O678/200),2)</f>
        <v>0.0021237166338267</v>
      </c>
      <c r="W678" s="15" t="n">
        <f aca="false">PI()*POWER((P678/200),2)</f>
        <v>0.0021237166338267</v>
      </c>
      <c r="X678" s="15" t="n">
        <f aca="false">PI()*POWER((Q678/200),2)</f>
        <v>0</v>
      </c>
      <c r="Y678" s="15" t="n">
        <f aca="false">PI()*POWER((R678/200),2)</f>
        <v>0</v>
      </c>
      <c r="Z678" s="15" t="n">
        <f aca="false">PI()*POWER((S678/200),2)</f>
        <v>0</v>
      </c>
      <c r="AA678" s="15" t="n">
        <f aca="false">PI()*POWER((T678/200),2)</f>
        <v>0</v>
      </c>
      <c r="AB678" s="15" t="n">
        <f aca="false">PI()*POWER((U678/200),2)</f>
        <v>0</v>
      </c>
    </row>
    <row r="679" customFormat="false" ht="15" hidden="false" customHeight="false" outlineLevel="0" collapsed="false">
      <c r="A679" s="2" t="s">
        <v>20</v>
      </c>
      <c r="B679" s="2" t="n">
        <v>3</v>
      </c>
      <c r="C679" s="9" t="n">
        <v>46265</v>
      </c>
      <c r="D679" s="2" t="n">
        <v>4</v>
      </c>
      <c r="E679" s="2" t="s">
        <v>35</v>
      </c>
      <c r="F679" s="2" t="s">
        <v>36</v>
      </c>
      <c r="G679" s="2" t="s">
        <v>37</v>
      </c>
      <c r="H679" s="2" t="s">
        <v>38</v>
      </c>
      <c r="I679" s="2" t="s">
        <v>39</v>
      </c>
      <c r="J679" s="2" t="n">
        <v>87</v>
      </c>
      <c r="K679" s="32" t="s">
        <v>157</v>
      </c>
      <c r="L679" s="15" t="n">
        <f aca="false">SUM(V679:AB679)</f>
        <v>0.0021237166338267</v>
      </c>
      <c r="M679" s="15" t="n">
        <f aca="false">MAX(O679:U679)</f>
        <v>5.2</v>
      </c>
      <c r="N679" s="15" t="n">
        <f aca="false">COUNTIF(M679,"&gt;9.9")</f>
        <v>0</v>
      </c>
      <c r="O679" s="2" t="n">
        <v>5.2</v>
      </c>
      <c r="V679" s="15" t="n">
        <f aca="false">PI()*POWER((O679/200),2)</f>
        <v>0.0021237166338267</v>
      </c>
      <c r="W679" s="15" t="n">
        <f aca="false">PI()*POWER((P679/200),2)</f>
        <v>0</v>
      </c>
      <c r="X679" s="15" t="n">
        <f aca="false">PI()*POWER((Q679/200),2)</f>
        <v>0</v>
      </c>
      <c r="Y679" s="15" t="n">
        <f aca="false">PI()*POWER((R679/200),2)</f>
        <v>0</v>
      </c>
      <c r="Z679" s="15" t="n">
        <f aca="false">PI()*POWER((S679/200),2)</f>
        <v>0</v>
      </c>
      <c r="AA679" s="15" t="n">
        <f aca="false">PI()*POWER((T679/200),2)</f>
        <v>0</v>
      </c>
      <c r="AB679" s="15" t="n">
        <f aca="false">PI()*POWER((U679/200),2)</f>
        <v>0</v>
      </c>
    </row>
    <row r="680" customFormat="false" ht="15" hidden="false" customHeight="false" outlineLevel="0" collapsed="false">
      <c r="A680" s="2" t="s">
        <v>20</v>
      </c>
      <c r="B680" s="2" t="n">
        <v>3</v>
      </c>
      <c r="C680" s="9" t="n">
        <v>46265</v>
      </c>
      <c r="D680" s="2" t="n">
        <v>4</v>
      </c>
      <c r="E680" s="2" t="s">
        <v>35</v>
      </c>
      <c r="F680" s="2" t="s">
        <v>36</v>
      </c>
      <c r="G680" s="2" t="s">
        <v>37</v>
      </c>
      <c r="H680" s="2" t="s">
        <v>38</v>
      </c>
      <c r="I680" s="2" t="s">
        <v>39</v>
      </c>
      <c r="J680" s="2" t="n">
        <v>72</v>
      </c>
      <c r="K680" s="32" t="s">
        <v>157</v>
      </c>
      <c r="L680" s="15" t="n">
        <f aca="false">SUM(V680:AB680)</f>
        <v>0.00237582944427728</v>
      </c>
      <c r="M680" s="15" t="n">
        <f aca="false">MAX(O680:U680)</f>
        <v>5.5</v>
      </c>
      <c r="N680" s="15" t="n">
        <f aca="false">COUNTIF(M680,"&gt;9.9")</f>
        <v>0</v>
      </c>
      <c r="O680" s="2" t="n">
        <v>5.5</v>
      </c>
      <c r="V680" s="15" t="n">
        <f aca="false">PI()*POWER((O680/200),2)</f>
        <v>0.00237582944427728</v>
      </c>
      <c r="W680" s="15" t="n">
        <f aca="false">PI()*POWER((P680/200),2)</f>
        <v>0</v>
      </c>
      <c r="X680" s="15" t="n">
        <f aca="false">PI()*POWER((Q680/200),2)</f>
        <v>0</v>
      </c>
      <c r="Y680" s="15" t="n">
        <f aca="false">PI()*POWER((R680/200),2)</f>
        <v>0</v>
      </c>
      <c r="Z680" s="15" t="n">
        <f aca="false">PI()*POWER((S680/200),2)</f>
        <v>0</v>
      </c>
      <c r="AA680" s="15" t="n">
        <f aca="false">PI()*POWER((T680/200),2)</f>
        <v>0</v>
      </c>
      <c r="AB680" s="15" t="n">
        <f aca="false">PI()*POWER((U680/200),2)</f>
        <v>0</v>
      </c>
    </row>
    <row r="681" customFormat="false" ht="15" hidden="false" customHeight="false" outlineLevel="0" collapsed="false">
      <c r="A681" s="2" t="s">
        <v>20</v>
      </c>
      <c r="B681" s="2" t="n">
        <v>3</v>
      </c>
      <c r="C681" s="9" t="n">
        <v>46265</v>
      </c>
      <c r="D681" s="2" t="n">
        <v>4</v>
      </c>
      <c r="E681" s="2" t="s">
        <v>35</v>
      </c>
      <c r="F681" s="2" t="s">
        <v>36</v>
      </c>
      <c r="G681" s="2" t="s">
        <v>37</v>
      </c>
      <c r="H681" s="2" t="s">
        <v>38</v>
      </c>
      <c r="I681" s="2" t="s">
        <v>39</v>
      </c>
      <c r="J681" s="2" t="n">
        <v>70</v>
      </c>
      <c r="K681" s="32" t="s">
        <v>157</v>
      </c>
      <c r="L681" s="15" t="n">
        <f aca="false">SUM(V681:AB681)</f>
        <v>0.00311724531052447</v>
      </c>
      <c r="M681" s="15" t="n">
        <f aca="false">MAX(O681:U681)</f>
        <v>6.3</v>
      </c>
      <c r="N681" s="15" t="n">
        <f aca="false">COUNTIF(M681,"&gt;9.9")</f>
        <v>0</v>
      </c>
      <c r="O681" s="2" t="n">
        <v>6.3</v>
      </c>
      <c r="V681" s="15" t="n">
        <f aca="false">PI()*POWER((O681/200),2)</f>
        <v>0.00311724531052447</v>
      </c>
      <c r="W681" s="15" t="n">
        <f aca="false">PI()*POWER((P681/200),2)</f>
        <v>0</v>
      </c>
      <c r="X681" s="15" t="n">
        <f aca="false">PI()*POWER((Q681/200),2)</f>
        <v>0</v>
      </c>
      <c r="Y681" s="15" t="n">
        <f aca="false">PI()*POWER((R681/200),2)</f>
        <v>0</v>
      </c>
      <c r="Z681" s="15" t="n">
        <f aca="false">PI()*POWER((S681/200),2)</f>
        <v>0</v>
      </c>
      <c r="AA681" s="15" t="n">
        <f aca="false">PI()*POWER((T681/200),2)</f>
        <v>0</v>
      </c>
      <c r="AB681" s="15" t="n">
        <f aca="false">PI()*POWER((U681/200),2)</f>
        <v>0</v>
      </c>
    </row>
    <row r="682" customFormat="false" ht="15" hidden="false" customHeight="false" outlineLevel="0" collapsed="false">
      <c r="A682" s="2" t="s">
        <v>20</v>
      </c>
      <c r="B682" s="2" t="n">
        <v>3</v>
      </c>
      <c r="C682" s="9" t="n">
        <v>46265</v>
      </c>
      <c r="D682" s="2" t="n">
        <v>4</v>
      </c>
      <c r="E682" s="2" t="s">
        <v>35</v>
      </c>
      <c r="F682" s="2" t="s">
        <v>36</v>
      </c>
      <c r="G682" s="2" t="s">
        <v>37</v>
      </c>
      <c r="H682" s="2" t="s">
        <v>38</v>
      </c>
      <c r="I682" s="2" t="s">
        <v>39</v>
      </c>
      <c r="J682" s="2" t="n">
        <v>79</v>
      </c>
      <c r="K682" s="32" t="s">
        <v>157</v>
      </c>
      <c r="L682" s="15" t="n">
        <f aca="false">SUM(V682:AB682)</f>
        <v>0.00321699087727595</v>
      </c>
      <c r="M682" s="15" t="n">
        <f aca="false">MAX(O682:U682)</f>
        <v>6.4</v>
      </c>
      <c r="N682" s="15" t="n">
        <f aca="false">COUNTIF(M682,"&gt;9.9")</f>
        <v>0</v>
      </c>
      <c r="O682" s="2" t="n">
        <v>6.4</v>
      </c>
      <c r="V682" s="15" t="n">
        <f aca="false">PI()*POWER((O682/200),2)</f>
        <v>0.00321699087727595</v>
      </c>
      <c r="W682" s="15" t="n">
        <f aca="false">PI()*POWER((P682/200),2)</f>
        <v>0</v>
      </c>
      <c r="X682" s="15" t="n">
        <f aca="false">PI()*POWER((Q682/200),2)</f>
        <v>0</v>
      </c>
      <c r="Y682" s="15" t="n">
        <f aca="false">PI()*POWER((R682/200),2)</f>
        <v>0</v>
      </c>
      <c r="Z682" s="15" t="n">
        <f aca="false">PI()*POWER((S682/200),2)</f>
        <v>0</v>
      </c>
      <c r="AA682" s="15" t="n">
        <f aca="false">PI()*POWER((T682/200),2)</f>
        <v>0</v>
      </c>
      <c r="AB682" s="15" t="n">
        <f aca="false">PI()*POWER((U682/200),2)</f>
        <v>0</v>
      </c>
    </row>
    <row r="683" customFormat="false" ht="15" hidden="false" customHeight="false" outlineLevel="0" collapsed="false">
      <c r="A683" s="2" t="s">
        <v>20</v>
      </c>
      <c r="B683" s="2" t="n">
        <v>3</v>
      </c>
      <c r="C683" s="9" t="n">
        <v>46265</v>
      </c>
      <c r="D683" s="2" t="n">
        <v>4</v>
      </c>
      <c r="E683" s="2" t="s">
        <v>35</v>
      </c>
      <c r="F683" s="2" t="s">
        <v>36</v>
      </c>
      <c r="G683" s="2" t="s">
        <v>37</v>
      </c>
      <c r="H683" s="2" t="s">
        <v>38</v>
      </c>
      <c r="I683" s="2" t="s">
        <v>39</v>
      </c>
      <c r="J683" s="2" t="n">
        <v>75</v>
      </c>
      <c r="K683" s="32" t="s">
        <v>157</v>
      </c>
      <c r="L683" s="15" t="n">
        <f aca="false">SUM(V683:AB683)</f>
        <v>0.0036316811075498</v>
      </c>
      <c r="M683" s="15" t="n">
        <f aca="false">MAX(O683:U683)</f>
        <v>6.8</v>
      </c>
      <c r="N683" s="15" t="n">
        <f aca="false">COUNTIF(M683,"&gt;9.9")</f>
        <v>0</v>
      </c>
      <c r="O683" s="2" t="n">
        <v>6.8</v>
      </c>
      <c r="V683" s="15" t="n">
        <f aca="false">PI()*POWER((O683/200),2)</f>
        <v>0.0036316811075498</v>
      </c>
      <c r="W683" s="15" t="n">
        <f aca="false">PI()*POWER((P683/200),2)</f>
        <v>0</v>
      </c>
      <c r="X683" s="15" t="n">
        <f aca="false">PI()*POWER((Q683/200),2)</f>
        <v>0</v>
      </c>
      <c r="Y683" s="15" t="n">
        <f aca="false">PI()*POWER((R683/200),2)</f>
        <v>0</v>
      </c>
      <c r="Z683" s="15" t="n">
        <f aca="false">PI()*POWER((S683/200),2)</f>
        <v>0</v>
      </c>
      <c r="AA683" s="15" t="n">
        <f aca="false">PI()*POWER((T683/200),2)</f>
        <v>0</v>
      </c>
      <c r="AB683" s="15" t="n">
        <f aca="false">PI()*POWER((U683/200),2)</f>
        <v>0</v>
      </c>
    </row>
    <row r="684" customFormat="false" ht="15" hidden="false" customHeight="false" outlineLevel="0" collapsed="false">
      <c r="A684" s="2" t="s">
        <v>20</v>
      </c>
      <c r="B684" s="2" t="n">
        <v>3</v>
      </c>
      <c r="C684" s="9" t="n">
        <v>46265</v>
      </c>
      <c r="D684" s="2" t="n">
        <v>4</v>
      </c>
      <c r="E684" s="2" t="s">
        <v>35</v>
      </c>
      <c r="F684" s="2" t="s">
        <v>36</v>
      </c>
      <c r="G684" s="2" t="s">
        <v>37</v>
      </c>
      <c r="H684" s="2" t="s">
        <v>38</v>
      </c>
      <c r="I684" s="2" t="s">
        <v>39</v>
      </c>
      <c r="J684" s="2" t="n">
        <v>83</v>
      </c>
      <c r="K684" s="32" t="s">
        <v>157</v>
      </c>
      <c r="L684" s="15" t="n">
        <f aca="false">SUM(V684:AB684)</f>
        <v>0.00407150407905237</v>
      </c>
      <c r="M684" s="15" t="n">
        <f aca="false">MAX(O684:U684)</f>
        <v>7.2</v>
      </c>
      <c r="N684" s="15" t="n">
        <f aca="false">COUNTIF(M684,"&gt;9.9")</f>
        <v>0</v>
      </c>
      <c r="O684" s="2" t="n">
        <v>7.2</v>
      </c>
      <c r="V684" s="15" t="n">
        <f aca="false">PI()*POWER((O684/200),2)</f>
        <v>0.00407150407905237</v>
      </c>
      <c r="W684" s="15" t="n">
        <f aca="false">PI()*POWER((P684/200),2)</f>
        <v>0</v>
      </c>
      <c r="X684" s="15" t="n">
        <f aca="false">PI()*POWER((Q684/200),2)</f>
        <v>0</v>
      </c>
      <c r="Y684" s="15" t="n">
        <f aca="false">PI()*POWER((R684/200),2)</f>
        <v>0</v>
      </c>
      <c r="Z684" s="15" t="n">
        <f aca="false">PI()*POWER((S684/200),2)</f>
        <v>0</v>
      </c>
      <c r="AA684" s="15" t="n">
        <f aca="false">PI()*POWER((T684/200),2)</f>
        <v>0</v>
      </c>
      <c r="AB684" s="15" t="n">
        <f aca="false">PI()*POWER((U684/200),2)</f>
        <v>0</v>
      </c>
    </row>
    <row r="685" customFormat="false" ht="15" hidden="false" customHeight="false" outlineLevel="0" collapsed="false">
      <c r="A685" s="2" t="s">
        <v>20</v>
      </c>
      <c r="B685" s="2" t="n">
        <v>3</v>
      </c>
      <c r="C685" s="9" t="n">
        <v>46265</v>
      </c>
      <c r="D685" s="2" t="n">
        <v>4</v>
      </c>
      <c r="E685" s="2" t="s">
        <v>35</v>
      </c>
      <c r="F685" s="2" t="s">
        <v>36</v>
      </c>
      <c r="G685" s="2" t="s">
        <v>37</v>
      </c>
      <c r="H685" s="2" t="s">
        <v>38</v>
      </c>
      <c r="I685" s="2" t="s">
        <v>39</v>
      </c>
      <c r="J685" s="2" t="n">
        <v>90</v>
      </c>
      <c r="K685" s="32" t="s">
        <v>157</v>
      </c>
      <c r="L685" s="15" t="n">
        <f aca="false">SUM(V685:AB685)</f>
        <v>0.00515299735005066</v>
      </c>
      <c r="M685" s="15" t="n">
        <f aca="false">MAX(O685:U685)</f>
        <v>8.1</v>
      </c>
      <c r="N685" s="15" t="n">
        <f aca="false">COUNTIF(M685,"&gt;9.9")</f>
        <v>0</v>
      </c>
      <c r="O685" s="2" t="n">
        <v>8.1</v>
      </c>
      <c r="V685" s="15" t="n">
        <f aca="false">PI()*POWER((O685/200),2)</f>
        <v>0.00515299735005066</v>
      </c>
      <c r="W685" s="15" t="n">
        <f aca="false">PI()*POWER((P685/200),2)</f>
        <v>0</v>
      </c>
      <c r="X685" s="15" t="n">
        <f aca="false">PI()*POWER((Q685/200),2)</f>
        <v>0</v>
      </c>
      <c r="Y685" s="15" t="n">
        <f aca="false">PI()*POWER((R685/200),2)</f>
        <v>0</v>
      </c>
      <c r="Z685" s="15" t="n">
        <f aca="false">PI()*POWER((S685/200),2)</f>
        <v>0</v>
      </c>
      <c r="AA685" s="15" t="n">
        <f aca="false">PI()*POWER((T685/200),2)</f>
        <v>0</v>
      </c>
      <c r="AB685" s="15" t="n">
        <f aca="false">PI()*POWER((U685/200),2)</f>
        <v>0</v>
      </c>
    </row>
    <row r="686" customFormat="false" ht="15" hidden="false" customHeight="false" outlineLevel="0" collapsed="false">
      <c r="A686" s="2" t="s">
        <v>20</v>
      </c>
      <c r="B686" s="2" t="n">
        <v>3</v>
      </c>
      <c r="C686" s="9" t="n">
        <v>46265</v>
      </c>
      <c r="D686" s="2" t="n">
        <v>4</v>
      </c>
      <c r="E686" s="2" t="s">
        <v>35</v>
      </c>
      <c r="F686" s="2" t="s">
        <v>36</v>
      </c>
      <c r="G686" s="2" t="s">
        <v>37</v>
      </c>
      <c r="H686" s="2" t="s">
        <v>38</v>
      </c>
      <c r="I686" s="2" t="s">
        <v>39</v>
      </c>
      <c r="J686" s="2" t="n">
        <v>82</v>
      </c>
      <c r="K686" s="32" t="s">
        <v>157</v>
      </c>
      <c r="L686" s="15" t="n">
        <f aca="false">SUM(V686:AB686)</f>
        <v>0.00650388219109427</v>
      </c>
      <c r="M686" s="15" t="n">
        <f aca="false">MAX(O686:U686)</f>
        <v>9.1</v>
      </c>
      <c r="N686" s="15" t="n">
        <f aca="false">COUNTIF(M686,"&gt;9.9")</f>
        <v>0</v>
      </c>
      <c r="O686" s="2" t="n">
        <v>9.1</v>
      </c>
      <c r="V686" s="15" t="n">
        <f aca="false">PI()*POWER((O686/200),2)</f>
        <v>0.00650388219109427</v>
      </c>
      <c r="W686" s="15" t="n">
        <f aca="false">PI()*POWER((P686/200),2)</f>
        <v>0</v>
      </c>
      <c r="X686" s="15" t="n">
        <f aca="false">PI()*POWER((Q686/200),2)</f>
        <v>0</v>
      </c>
      <c r="Y686" s="15" t="n">
        <f aca="false">PI()*POWER((R686/200),2)</f>
        <v>0</v>
      </c>
      <c r="Z686" s="15" t="n">
        <f aca="false">PI()*POWER((S686/200),2)</f>
        <v>0</v>
      </c>
      <c r="AA686" s="15" t="n">
        <f aca="false">PI()*POWER((T686/200),2)</f>
        <v>0</v>
      </c>
      <c r="AB686" s="15" t="n">
        <f aca="false">PI()*POWER((U686/200),2)</f>
        <v>0</v>
      </c>
    </row>
    <row r="687" customFormat="false" ht="15" hidden="false" customHeight="false" outlineLevel="0" collapsed="false">
      <c r="A687" s="2" t="s">
        <v>20</v>
      </c>
      <c r="B687" s="2" t="n">
        <v>3</v>
      </c>
      <c r="C687" s="9" t="n">
        <v>46265</v>
      </c>
      <c r="D687" s="2" t="n">
        <v>4</v>
      </c>
      <c r="E687" s="2" t="s">
        <v>35</v>
      </c>
      <c r="F687" s="2" t="s">
        <v>36</v>
      </c>
      <c r="G687" s="2" t="s">
        <v>37</v>
      </c>
      <c r="H687" s="2" t="s">
        <v>38</v>
      </c>
      <c r="I687" s="2" t="s">
        <v>39</v>
      </c>
      <c r="J687" s="2" t="n">
        <v>80</v>
      </c>
      <c r="K687" s="32" t="s">
        <v>157</v>
      </c>
      <c r="L687" s="15" t="n">
        <f aca="false">SUM(V687:AB687)</f>
        <v>0.00738981131940659</v>
      </c>
      <c r="M687" s="15" t="n">
        <f aca="false">MAX(O687:U687)</f>
        <v>9.7</v>
      </c>
      <c r="N687" s="15" t="n">
        <f aca="false">COUNTIF(M687,"&gt;9.9")</f>
        <v>0</v>
      </c>
      <c r="O687" s="2" t="n">
        <v>9.7</v>
      </c>
      <c r="V687" s="15" t="n">
        <f aca="false">PI()*POWER((O687/200),2)</f>
        <v>0.00738981131940659</v>
      </c>
      <c r="W687" s="15" t="n">
        <f aca="false">PI()*POWER((P687/200),2)</f>
        <v>0</v>
      </c>
      <c r="X687" s="15" t="n">
        <f aca="false">PI()*POWER((Q687/200),2)</f>
        <v>0</v>
      </c>
      <c r="Y687" s="15" t="n">
        <f aca="false">PI()*POWER((R687/200),2)</f>
        <v>0</v>
      </c>
      <c r="Z687" s="15" t="n">
        <f aca="false">PI()*POWER((S687/200),2)</f>
        <v>0</v>
      </c>
      <c r="AA687" s="15" t="n">
        <f aca="false">PI()*POWER((T687/200),2)</f>
        <v>0</v>
      </c>
      <c r="AB687" s="15" t="n">
        <f aca="false">PI()*POWER((U687/200),2)</f>
        <v>0</v>
      </c>
    </row>
    <row r="688" customFormat="false" ht="15" hidden="false" customHeight="false" outlineLevel="0" collapsed="false">
      <c r="A688" s="2" t="s">
        <v>20</v>
      </c>
      <c r="B688" s="2" t="n">
        <v>3</v>
      </c>
      <c r="C688" s="9" t="n">
        <v>46265</v>
      </c>
      <c r="D688" s="2" t="n">
        <v>4</v>
      </c>
      <c r="E688" s="2" t="s">
        <v>35</v>
      </c>
      <c r="F688" s="2" t="s">
        <v>36</v>
      </c>
      <c r="G688" s="2" t="s">
        <v>37</v>
      </c>
      <c r="H688" s="2" t="s">
        <v>38</v>
      </c>
      <c r="I688" s="2" t="s">
        <v>39</v>
      </c>
      <c r="J688" s="2" t="n">
        <v>69</v>
      </c>
      <c r="K688" s="32" t="s">
        <v>157</v>
      </c>
      <c r="L688" s="15" t="n">
        <f aca="false">SUM(V688:AB688)</f>
        <v>0.00754296396126909</v>
      </c>
      <c r="M688" s="15" t="n">
        <f aca="false">MAX(O688:U688)</f>
        <v>9.8</v>
      </c>
      <c r="N688" s="15" t="n">
        <f aca="false">COUNTIF(M688,"&gt;9.9")</f>
        <v>0</v>
      </c>
      <c r="O688" s="2" t="n">
        <v>9.8</v>
      </c>
      <c r="V688" s="15" t="n">
        <f aca="false">PI()*POWER((O688/200),2)</f>
        <v>0.00754296396126909</v>
      </c>
      <c r="W688" s="15" t="n">
        <f aca="false">PI()*POWER((P688/200),2)</f>
        <v>0</v>
      </c>
      <c r="X688" s="15" t="n">
        <f aca="false">PI()*POWER((Q688/200),2)</f>
        <v>0</v>
      </c>
      <c r="Y688" s="15" t="n">
        <f aca="false">PI()*POWER((R688/200),2)</f>
        <v>0</v>
      </c>
      <c r="Z688" s="15" t="n">
        <f aca="false">PI()*POWER((S688/200),2)</f>
        <v>0</v>
      </c>
      <c r="AA688" s="15" t="n">
        <f aca="false">PI()*POWER((T688/200),2)</f>
        <v>0</v>
      </c>
      <c r="AB688" s="15" t="n">
        <f aca="false">PI()*POWER((U688/200),2)</f>
        <v>0</v>
      </c>
    </row>
    <row r="689" customFormat="false" ht="15" hidden="false" customHeight="false" outlineLevel="0" collapsed="false">
      <c r="A689" s="2" t="s">
        <v>20</v>
      </c>
      <c r="B689" s="2" t="n">
        <v>3</v>
      </c>
      <c r="C689" s="9" t="n">
        <v>46265</v>
      </c>
      <c r="D689" s="2" t="n">
        <v>4</v>
      </c>
      <c r="E689" s="2" t="s">
        <v>35</v>
      </c>
      <c r="F689" s="2" t="s">
        <v>36</v>
      </c>
      <c r="G689" s="2" t="s">
        <v>37</v>
      </c>
      <c r="H689" s="2" t="s">
        <v>38</v>
      </c>
      <c r="I689" s="2" t="s">
        <v>39</v>
      </c>
      <c r="J689" s="2" t="n">
        <v>76</v>
      </c>
      <c r="K689" s="32" t="s">
        <v>157</v>
      </c>
      <c r="L689" s="15" t="n">
        <f aca="false">SUM(V689:AB689)</f>
        <v>0.010028749148422</v>
      </c>
      <c r="M689" s="15" t="n">
        <f aca="false">MAX(O689:U689)</f>
        <v>11.3</v>
      </c>
      <c r="N689" s="15" t="n">
        <f aca="false">COUNTIF(M689,"&gt;9.9")</f>
        <v>1</v>
      </c>
      <c r="O689" s="2" t="n">
        <v>11.3</v>
      </c>
      <c r="V689" s="15" t="n">
        <f aca="false">PI()*POWER((O689/200),2)</f>
        <v>0.010028749148422</v>
      </c>
      <c r="W689" s="15" t="n">
        <f aca="false">PI()*POWER((P689/200),2)</f>
        <v>0</v>
      </c>
      <c r="X689" s="15" t="n">
        <f aca="false">PI()*POWER((Q689/200),2)</f>
        <v>0</v>
      </c>
      <c r="Y689" s="15" t="n">
        <f aca="false">PI()*POWER((R689/200),2)</f>
        <v>0</v>
      </c>
      <c r="Z689" s="15" t="n">
        <f aca="false">PI()*POWER((S689/200),2)</f>
        <v>0</v>
      </c>
      <c r="AA689" s="15" t="n">
        <f aca="false">PI()*POWER((T689/200),2)</f>
        <v>0</v>
      </c>
      <c r="AB689" s="15" t="n">
        <f aca="false">PI()*POWER((U689/200),2)</f>
        <v>0</v>
      </c>
    </row>
    <row r="690" customFormat="false" ht="15" hidden="false" customHeight="false" outlineLevel="0" collapsed="false">
      <c r="A690" s="2" t="s">
        <v>20</v>
      </c>
      <c r="B690" s="2" t="n">
        <v>3</v>
      </c>
      <c r="C690" s="9" t="n">
        <v>46265</v>
      </c>
      <c r="D690" s="2" t="n">
        <v>4</v>
      </c>
      <c r="E690" s="2" t="s">
        <v>35</v>
      </c>
      <c r="F690" s="2" t="s">
        <v>36</v>
      </c>
      <c r="G690" s="2" t="s">
        <v>37</v>
      </c>
      <c r="H690" s="2" t="s">
        <v>38</v>
      </c>
      <c r="I690" s="2" t="s">
        <v>39</v>
      </c>
      <c r="J690" s="2" t="n">
        <v>89</v>
      </c>
      <c r="K690" s="32" t="s">
        <v>157</v>
      </c>
      <c r="L690" s="15" t="n">
        <f aca="false">SUM(V690:AB690)</f>
        <v>0.0102070345315132</v>
      </c>
      <c r="M690" s="15" t="n">
        <f aca="false">MAX(O690:U690)</f>
        <v>11.4</v>
      </c>
      <c r="N690" s="15" t="n">
        <f aca="false">COUNTIF(M690,"&gt;9.9")</f>
        <v>1</v>
      </c>
      <c r="O690" s="2" t="n">
        <v>11.4</v>
      </c>
      <c r="V690" s="15" t="n">
        <f aca="false">PI()*POWER((O690/200),2)</f>
        <v>0.0102070345315132</v>
      </c>
      <c r="W690" s="15" t="n">
        <f aca="false">PI()*POWER((P690/200),2)</f>
        <v>0</v>
      </c>
      <c r="X690" s="15" t="n">
        <f aca="false">PI()*POWER((Q690/200),2)</f>
        <v>0</v>
      </c>
      <c r="Y690" s="15" t="n">
        <f aca="false">PI()*POWER((R690/200),2)</f>
        <v>0</v>
      </c>
      <c r="Z690" s="15" t="n">
        <f aca="false">PI()*POWER((S690/200),2)</f>
        <v>0</v>
      </c>
      <c r="AA690" s="15" t="n">
        <f aca="false">PI()*POWER((T690/200),2)</f>
        <v>0</v>
      </c>
      <c r="AB690" s="15" t="n">
        <f aca="false">PI()*POWER((U690/200),2)</f>
        <v>0</v>
      </c>
    </row>
    <row r="691" customFormat="false" ht="15" hidden="false" customHeight="false" outlineLevel="0" collapsed="false">
      <c r="A691" s="2" t="s">
        <v>20</v>
      </c>
      <c r="B691" s="2" t="n">
        <v>3</v>
      </c>
      <c r="C691" s="9" t="n">
        <v>46265</v>
      </c>
      <c r="D691" s="2" t="n">
        <v>4</v>
      </c>
      <c r="E691" s="2" t="s">
        <v>35</v>
      </c>
      <c r="F691" s="2" t="s">
        <v>36</v>
      </c>
      <c r="G691" s="2" t="s">
        <v>37</v>
      </c>
      <c r="H691" s="2" t="s">
        <v>38</v>
      </c>
      <c r="I691" s="2" t="s">
        <v>39</v>
      </c>
      <c r="J691" s="2" t="n">
        <v>86</v>
      </c>
      <c r="K691" s="32" t="s">
        <v>157</v>
      </c>
      <c r="L691" s="15" t="n">
        <f aca="false">SUM(V691:AB691)</f>
        <v>0.0103868907109313</v>
      </c>
      <c r="M691" s="15" t="n">
        <f aca="false">MAX(O691:U691)</f>
        <v>11.5</v>
      </c>
      <c r="N691" s="15" t="n">
        <f aca="false">COUNTIF(M691,"&gt;9.9")</f>
        <v>1</v>
      </c>
      <c r="O691" s="2" t="n">
        <v>11.5</v>
      </c>
      <c r="V691" s="15" t="n">
        <f aca="false">PI()*POWER((O691/200),2)</f>
        <v>0.0103868907109313</v>
      </c>
      <c r="W691" s="15" t="n">
        <f aca="false">PI()*POWER((P691/200),2)</f>
        <v>0</v>
      </c>
      <c r="X691" s="15" t="n">
        <f aca="false">PI()*POWER((Q691/200),2)</f>
        <v>0</v>
      </c>
      <c r="Y691" s="15" t="n">
        <f aca="false">PI()*POWER((R691/200),2)</f>
        <v>0</v>
      </c>
      <c r="Z691" s="15" t="n">
        <f aca="false">PI()*POWER((S691/200),2)</f>
        <v>0</v>
      </c>
      <c r="AA691" s="15" t="n">
        <f aca="false">PI()*POWER((T691/200),2)</f>
        <v>0</v>
      </c>
      <c r="AB691" s="15" t="n">
        <f aca="false">PI()*POWER((U691/200),2)</f>
        <v>0</v>
      </c>
    </row>
    <row r="692" customFormat="false" ht="15" hidden="false" customHeight="false" outlineLevel="0" collapsed="false">
      <c r="A692" s="2" t="s">
        <v>20</v>
      </c>
      <c r="B692" s="2" t="n">
        <v>3</v>
      </c>
      <c r="C692" s="9" t="n">
        <v>46265</v>
      </c>
      <c r="D692" s="2" t="n">
        <v>4</v>
      </c>
      <c r="E692" s="2" t="s">
        <v>35</v>
      </c>
      <c r="F692" s="2" t="s">
        <v>36</v>
      </c>
      <c r="G692" s="2" t="s">
        <v>37</v>
      </c>
      <c r="H692" s="2" t="s">
        <v>38</v>
      </c>
      <c r="I692" s="2" t="s">
        <v>39</v>
      </c>
      <c r="J692" s="2" t="n">
        <v>74</v>
      </c>
      <c r="K692" s="32" t="s">
        <v>157</v>
      </c>
      <c r="L692" s="15" t="n">
        <f aca="false">SUM(V692:AB692)</f>
        <v>0.0111220233918713</v>
      </c>
      <c r="M692" s="15" t="n">
        <f aca="false">MAX(O692:U692)</f>
        <v>11.9</v>
      </c>
      <c r="N692" s="15" t="n">
        <f aca="false">COUNTIF(M692,"&gt;9.9")</f>
        <v>1</v>
      </c>
      <c r="O692" s="2" t="n">
        <v>11.9</v>
      </c>
      <c r="V692" s="15" t="n">
        <f aca="false">PI()*POWER((O692/200),2)</f>
        <v>0.0111220233918713</v>
      </c>
      <c r="W692" s="15" t="n">
        <f aca="false">PI()*POWER((P692/200),2)</f>
        <v>0</v>
      </c>
      <c r="X692" s="15" t="n">
        <f aca="false">PI()*POWER((Q692/200),2)</f>
        <v>0</v>
      </c>
      <c r="Y692" s="15" t="n">
        <f aca="false">PI()*POWER((R692/200),2)</f>
        <v>0</v>
      </c>
      <c r="Z692" s="15" t="n">
        <f aca="false">PI()*POWER((S692/200),2)</f>
        <v>0</v>
      </c>
      <c r="AA692" s="15" t="n">
        <f aca="false">PI()*POWER((T692/200),2)</f>
        <v>0</v>
      </c>
      <c r="AB692" s="15" t="n">
        <f aca="false">PI()*POWER((U692/200),2)</f>
        <v>0</v>
      </c>
    </row>
    <row r="693" customFormat="false" ht="15" hidden="false" customHeight="false" outlineLevel="0" collapsed="false">
      <c r="A693" s="2" t="s">
        <v>20</v>
      </c>
      <c r="B693" s="2" t="n">
        <v>3</v>
      </c>
      <c r="C693" s="9" t="n">
        <v>46265</v>
      </c>
      <c r="D693" s="2" t="n">
        <v>4</v>
      </c>
      <c r="E693" s="2" t="s">
        <v>35</v>
      </c>
      <c r="F693" s="2" t="s">
        <v>36</v>
      </c>
      <c r="G693" s="2" t="s">
        <v>37</v>
      </c>
      <c r="H693" s="2" t="s">
        <v>38</v>
      </c>
      <c r="I693" s="2" t="s">
        <v>39</v>
      </c>
      <c r="J693" s="2" t="n">
        <v>65</v>
      </c>
      <c r="K693" s="32" t="s">
        <v>157</v>
      </c>
      <c r="L693" s="15" t="n">
        <f aca="false">SUM(V693:AB693)</f>
        <v>0.0128679635091038</v>
      </c>
      <c r="M693" s="15" t="n">
        <f aca="false">MAX(O693:U693)</f>
        <v>12.8</v>
      </c>
      <c r="N693" s="15" t="n">
        <f aca="false">COUNTIF(M693,"&gt;9.9")</f>
        <v>1</v>
      </c>
      <c r="O693" s="2" t="n">
        <v>12.8</v>
      </c>
      <c r="V693" s="15" t="n">
        <f aca="false">PI()*POWER((O693/200),2)</f>
        <v>0.0128679635091038</v>
      </c>
      <c r="W693" s="15" t="n">
        <f aca="false">PI()*POWER((P693/200),2)</f>
        <v>0</v>
      </c>
      <c r="X693" s="15" t="n">
        <f aca="false">PI()*POWER((Q693/200),2)</f>
        <v>0</v>
      </c>
      <c r="Y693" s="15" t="n">
        <f aca="false">PI()*POWER((R693/200),2)</f>
        <v>0</v>
      </c>
      <c r="Z693" s="15" t="n">
        <f aca="false">PI()*POWER((S693/200),2)</f>
        <v>0</v>
      </c>
      <c r="AA693" s="15" t="n">
        <f aca="false">PI()*POWER((T693/200),2)</f>
        <v>0</v>
      </c>
      <c r="AB693" s="15" t="n">
        <f aca="false">PI()*POWER((U693/200),2)</f>
        <v>0</v>
      </c>
    </row>
    <row r="694" customFormat="false" ht="15" hidden="false" customHeight="false" outlineLevel="0" collapsed="false">
      <c r="A694" s="2" t="s">
        <v>20</v>
      </c>
      <c r="B694" s="2" t="n">
        <v>3</v>
      </c>
      <c r="C694" s="9" t="n">
        <v>46265</v>
      </c>
      <c r="D694" s="2" t="n">
        <v>4</v>
      </c>
      <c r="E694" s="2" t="s">
        <v>35</v>
      </c>
      <c r="F694" s="2" t="s">
        <v>36</v>
      </c>
      <c r="G694" s="2" t="s">
        <v>37</v>
      </c>
      <c r="H694" s="2" t="s">
        <v>38</v>
      </c>
      <c r="I694" s="2" t="s">
        <v>39</v>
      </c>
      <c r="J694" s="2" t="n">
        <v>85</v>
      </c>
      <c r="K694" s="32" t="s">
        <v>157</v>
      </c>
      <c r="L694" s="15" t="n">
        <f aca="false">SUM(V694:AB694)</f>
        <v>0.0136847775990371</v>
      </c>
      <c r="M694" s="15" t="n">
        <f aca="false">MAX(O694:U694)</f>
        <v>13.2</v>
      </c>
      <c r="N694" s="15" t="n">
        <f aca="false">COUNTIF(M694,"&gt;9.9")</f>
        <v>1</v>
      </c>
      <c r="O694" s="2" t="n">
        <v>13.2</v>
      </c>
      <c r="V694" s="15" t="n">
        <f aca="false">PI()*POWER((O694/200),2)</f>
        <v>0.0136847775990371</v>
      </c>
      <c r="W694" s="15" t="n">
        <f aca="false">PI()*POWER((P694/200),2)</f>
        <v>0</v>
      </c>
      <c r="X694" s="15" t="n">
        <f aca="false">PI()*POWER((Q694/200),2)</f>
        <v>0</v>
      </c>
      <c r="Y694" s="15" t="n">
        <f aca="false">PI()*POWER((R694/200),2)</f>
        <v>0</v>
      </c>
      <c r="Z694" s="15" t="n">
        <f aca="false">PI()*POWER((S694/200),2)</f>
        <v>0</v>
      </c>
      <c r="AA694" s="15" t="n">
        <f aca="false">PI()*POWER((T694/200),2)</f>
        <v>0</v>
      </c>
      <c r="AB694" s="15" t="n">
        <f aca="false">PI()*POWER((U694/200),2)</f>
        <v>0</v>
      </c>
    </row>
    <row r="695" customFormat="false" ht="15" hidden="false" customHeight="false" outlineLevel="0" collapsed="false">
      <c r="A695" s="2" t="s">
        <v>20</v>
      </c>
      <c r="B695" s="2" t="n">
        <v>3</v>
      </c>
      <c r="C695" s="9" t="n">
        <v>46265</v>
      </c>
      <c r="D695" s="2" t="n">
        <v>4</v>
      </c>
      <c r="E695" s="2" t="s">
        <v>35</v>
      </c>
      <c r="F695" s="2" t="s">
        <v>36</v>
      </c>
      <c r="G695" s="2" t="s">
        <v>37</v>
      </c>
      <c r="H695" s="2" t="s">
        <v>38</v>
      </c>
      <c r="I695" s="2" t="s">
        <v>39</v>
      </c>
      <c r="J695" s="2" t="n">
        <v>64</v>
      </c>
      <c r="K695" s="32" t="s">
        <v>157</v>
      </c>
      <c r="L695" s="15" t="n">
        <f aca="false">SUM(V695:AB695)</f>
        <v>0.0190254851101398</v>
      </c>
      <c r="M695" s="15" t="n">
        <f aca="false">MAX(O695:U695)</f>
        <v>14</v>
      </c>
      <c r="N695" s="15" t="n">
        <f aca="false">COUNTIF(M695,"&gt;9.9")</f>
        <v>1</v>
      </c>
      <c r="O695" s="2" t="n">
        <v>14</v>
      </c>
      <c r="P695" s="2" t="n">
        <v>6.8</v>
      </c>
      <c r="V695" s="15" t="n">
        <f aca="false">PI()*POWER((O695/200),2)</f>
        <v>0.01539380400259</v>
      </c>
      <c r="W695" s="15" t="n">
        <f aca="false">PI()*POWER((P695/200),2)</f>
        <v>0.0036316811075498</v>
      </c>
      <c r="X695" s="15" t="n">
        <f aca="false">PI()*POWER((Q695/200),2)</f>
        <v>0</v>
      </c>
      <c r="Y695" s="15" t="n">
        <f aca="false">PI()*POWER((R695/200),2)</f>
        <v>0</v>
      </c>
      <c r="Z695" s="15" t="n">
        <f aca="false">PI()*POWER((S695/200),2)</f>
        <v>0</v>
      </c>
      <c r="AA695" s="15" t="n">
        <f aca="false">PI()*POWER((T695/200),2)</f>
        <v>0</v>
      </c>
      <c r="AB695" s="15" t="n">
        <f aca="false">PI()*POWER((U695/200),2)</f>
        <v>0</v>
      </c>
    </row>
    <row r="696" customFormat="false" ht="15" hidden="false" customHeight="false" outlineLevel="0" collapsed="false">
      <c r="A696" s="2" t="s">
        <v>20</v>
      </c>
      <c r="B696" s="2" t="n">
        <v>3</v>
      </c>
      <c r="C696" s="9" t="n">
        <v>46265</v>
      </c>
      <c r="D696" s="2" t="n">
        <v>4</v>
      </c>
      <c r="E696" s="2" t="s">
        <v>35</v>
      </c>
      <c r="F696" s="2" t="s">
        <v>36</v>
      </c>
      <c r="G696" s="2" t="s">
        <v>37</v>
      </c>
      <c r="H696" s="2" t="s">
        <v>38</v>
      </c>
      <c r="I696" s="2" t="s">
        <v>39</v>
      </c>
      <c r="J696" s="2" t="n">
        <v>68</v>
      </c>
      <c r="K696" s="32" t="s">
        <v>157</v>
      </c>
      <c r="L696" s="15" t="n">
        <f aca="false">SUM(V696:AB696)</f>
        <v>0.0254469004940773</v>
      </c>
      <c r="M696" s="15" t="n">
        <f aca="false">MAX(O696:U696)</f>
        <v>18</v>
      </c>
      <c r="N696" s="15" t="n">
        <f aca="false">COUNTIF(M696,"&gt;9.9")</f>
        <v>1</v>
      </c>
      <c r="O696" s="2" t="n">
        <v>18</v>
      </c>
      <c r="V696" s="15" t="n">
        <f aca="false">PI()*POWER((O696/200),2)</f>
        <v>0.0254469004940773</v>
      </c>
      <c r="W696" s="15" t="n">
        <f aca="false">PI()*POWER((P696/200),2)</f>
        <v>0</v>
      </c>
      <c r="X696" s="15" t="n">
        <f aca="false">PI()*POWER((Q696/200),2)</f>
        <v>0</v>
      </c>
      <c r="Y696" s="15" t="n">
        <f aca="false">PI()*POWER((R696/200),2)</f>
        <v>0</v>
      </c>
      <c r="Z696" s="15" t="n">
        <f aca="false">PI()*POWER((S696/200),2)</f>
        <v>0</v>
      </c>
      <c r="AA696" s="15" t="n">
        <f aca="false">PI()*POWER((T696/200),2)</f>
        <v>0</v>
      </c>
      <c r="AB696" s="15" t="n">
        <f aca="false">PI()*POWER((U696/200),2)</f>
        <v>0</v>
      </c>
    </row>
    <row r="697" customFormat="false" ht="15" hidden="false" customHeight="false" outlineLevel="0" collapsed="false">
      <c r="A697" s="2" t="s">
        <v>20</v>
      </c>
      <c r="B697" s="2" t="n">
        <v>3</v>
      </c>
      <c r="C697" s="9" t="n">
        <v>46265</v>
      </c>
      <c r="D697" s="2" t="n">
        <v>4</v>
      </c>
      <c r="E697" s="2" t="s">
        <v>35</v>
      </c>
      <c r="F697" s="2" t="s">
        <v>36</v>
      </c>
      <c r="G697" s="2" t="s">
        <v>37</v>
      </c>
      <c r="H697" s="2" t="s">
        <v>38</v>
      </c>
      <c r="I697" s="2" t="s">
        <v>39</v>
      </c>
      <c r="J697" s="2" t="n">
        <v>73</v>
      </c>
      <c r="K697" s="32" t="s">
        <v>157</v>
      </c>
      <c r="L697" s="15" t="n">
        <f aca="false">SUM(V697:AB697)</f>
        <v>0.026590440219984</v>
      </c>
      <c r="M697" s="15" t="n">
        <f aca="false">MAX(O697:U697)</f>
        <v>18.4</v>
      </c>
      <c r="N697" s="15" t="n">
        <f aca="false">COUNTIF(M697,"&gt;9.9")</f>
        <v>1</v>
      </c>
      <c r="O697" s="2" t="n">
        <v>18.4</v>
      </c>
      <c r="V697" s="15" t="n">
        <f aca="false">PI()*POWER((O697/200),2)</f>
        <v>0.026590440219984</v>
      </c>
      <c r="W697" s="15" t="n">
        <f aca="false">PI()*POWER((P697/200),2)</f>
        <v>0</v>
      </c>
      <c r="X697" s="15" t="n">
        <f aca="false">PI()*POWER((Q697/200),2)</f>
        <v>0</v>
      </c>
      <c r="Y697" s="15" t="n">
        <f aca="false">PI()*POWER((R697/200),2)</f>
        <v>0</v>
      </c>
      <c r="Z697" s="15" t="n">
        <f aca="false">PI()*POWER((S697/200),2)</f>
        <v>0</v>
      </c>
      <c r="AA697" s="15" t="n">
        <f aca="false">PI()*POWER((T697/200),2)</f>
        <v>0</v>
      </c>
      <c r="AB697" s="15" t="n">
        <f aca="false">PI()*POWER((U697/200),2)</f>
        <v>0</v>
      </c>
    </row>
    <row r="698" customFormat="false" ht="15" hidden="false" customHeight="false" outlineLevel="0" collapsed="false">
      <c r="A698" s="2" t="s">
        <v>20</v>
      </c>
      <c r="B698" s="2" t="n">
        <v>3</v>
      </c>
      <c r="C698" s="9" t="n">
        <v>46265</v>
      </c>
      <c r="D698" s="2" t="n">
        <v>4</v>
      </c>
      <c r="E698" s="2" t="s">
        <v>35</v>
      </c>
      <c r="F698" s="2" t="s">
        <v>36</v>
      </c>
      <c r="G698" s="2" t="s">
        <v>37</v>
      </c>
      <c r="H698" s="2" t="s">
        <v>38</v>
      </c>
      <c r="I698" s="2" t="s">
        <v>39</v>
      </c>
      <c r="J698" s="2" t="n">
        <v>77</v>
      </c>
      <c r="K698" s="32" t="s">
        <v>157</v>
      </c>
      <c r="L698" s="15" t="n">
        <f aca="false">SUM(V698:AB698)</f>
        <v>0.0320473866592695</v>
      </c>
      <c r="M698" s="15" t="n">
        <f aca="false">MAX(O698:U698)</f>
        <v>20.2</v>
      </c>
      <c r="N698" s="15" t="n">
        <f aca="false">COUNTIF(M698,"&gt;9.9")</f>
        <v>1</v>
      </c>
      <c r="O698" s="2" t="n">
        <v>20.2</v>
      </c>
      <c r="V698" s="15" t="n">
        <f aca="false">PI()*POWER((O698/200),2)</f>
        <v>0.0320473866592695</v>
      </c>
      <c r="W698" s="15" t="n">
        <f aca="false">PI()*POWER((P698/200),2)</f>
        <v>0</v>
      </c>
      <c r="X698" s="15" t="n">
        <f aca="false">PI()*POWER((Q698/200),2)</f>
        <v>0</v>
      </c>
      <c r="Y698" s="15" t="n">
        <f aca="false">PI()*POWER((R698/200),2)</f>
        <v>0</v>
      </c>
      <c r="Z698" s="15" t="n">
        <f aca="false">PI()*POWER((S698/200),2)</f>
        <v>0</v>
      </c>
      <c r="AA698" s="15" t="n">
        <f aca="false">PI()*POWER((T698/200),2)</f>
        <v>0</v>
      </c>
      <c r="AB698" s="15" t="n">
        <f aca="false">PI()*POWER((U698/200),2)</f>
        <v>0</v>
      </c>
    </row>
    <row r="699" customFormat="false" ht="15" hidden="false" customHeight="false" outlineLevel="0" collapsed="false">
      <c r="A699" s="2" t="s">
        <v>20</v>
      </c>
      <c r="B699" s="2" t="n">
        <v>3</v>
      </c>
      <c r="C699" s="9" t="n">
        <v>46265</v>
      </c>
      <c r="D699" s="2" t="n">
        <v>4</v>
      </c>
      <c r="E699" s="2" t="s">
        <v>35</v>
      </c>
      <c r="F699" s="2" t="s">
        <v>36</v>
      </c>
      <c r="G699" s="2" t="s">
        <v>37</v>
      </c>
      <c r="H699" s="2" t="s">
        <v>38</v>
      </c>
      <c r="I699" s="2" t="s">
        <v>39</v>
      </c>
      <c r="J699" s="2" t="n">
        <v>66</v>
      </c>
      <c r="K699" s="32" t="s">
        <v>157</v>
      </c>
      <c r="L699" s="15" t="n">
        <f aca="false">SUM(V699:AB699)</f>
        <v>0.0333291564619341</v>
      </c>
      <c r="M699" s="15" t="n">
        <f aca="false">MAX(O699:U699)</f>
        <v>20.6</v>
      </c>
      <c r="N699" s="15" t="n">
        <f aca="false">COUNTIF(M699,"&gt;9.9")</f>
        <v>1</v>
      </c>
      <c r="O699" s="2" t="n">
        <v>20.6</v>
      </c>
      <c r="V699" s="15" t="n">
        <f aca="false">PI()*POWER((O699/200),2)</f>
        <v>0.0333291564619341</v>
      </c>
      <c r="W699" s="15" t="n">
        <f aca="false">PI()*POWER((P699/200),2)</f>
        <v>0</v>
      </c>
      <c r="X699" s="15" t="n">
        <f aca="false">PI()*POWER((Q699/200),2)</f>
        <v>0</v>
      </c>
      <c r="Y699" s="15" t="n">
        <f aca="false">PI()*POWER((R699/200),2)</f>
        <v>0</v>
      </c>
      <c r="Z699" s="15" t="n">
        <f aca="false">PI()*POWER((S699/200),2)</f>
        <v>0</v>
      </c>
      <c r="AA699" s="15" t="n">
        <f aca="false">PI()*POWER((T699/200),2)</f>
        <v>0</v>
      </c>
      <c r="AB699" s="15" t="n">
        <f aca="false">PI()*POWER((U699/200),2)</f>
        <v>0</v>
      </c>
    </row>
    <row r="700" customFormat="false" ht="15" hidden="false" customHeight="false" outlineLevel="0" collapsed="false">
      <c r="A700" s="2" t="s">
        <v>20</v>
      </c>
      <c r="B700" s="2" t="n">
        <v>3</v>
      </c>
      <c r="C700" s="9" t="n">
        <v>46265</v>
      </c>
      <c r="D700" s="2" t="n">
        <v>4</v>
      </c>
      <c r="E700" s="2" t="s">
        <v>35</v>
      </c>
      <c r="F700" s="2" t="s">
        <v>36</v>
      </c>
      <c r="G700" s="2" t="s">
        <v>37</v>
      </c>
      <c r="H700" s="2" t="s">
        <v>38</v>
      </c>
      <c r="I700" s="2" t="s">
        <v>39</v>
      </c>
      <c r="J700" s="2" t="n">
        <v>63</v>
      </c>
      <c r="K700" s="32" t="s">
        <v>157</v>
      </c>
      <c r="L700" s="15" t="n">
        <f aca="false">SUM(V700:AB700)</f>
        <v>0.0551545860245858</v>
      </c>
      <c r="M700" s="15" t="n">
        <f aca="false">MAX(O700:U700)</f>
        <v>26.5</v>
      </c>
      <c r="N700" s="15" t="n">
        <f aca="false">COUNTIF(M700,"&gt;9.9")</f>
        <v>1</v>
      </c>
      <c r="O700" s="2" t="n">
        <v>26.5</v>
      </c>
      <c r="V700" s="15" t="n">
        <f aca="false">PI()*POWER((O700/200),2)</f>
        <v>0.0551545860245858</v>
      </c>
      <c r="W700" s="15" t="n">
        <f aca="false">PI()*POWER((P700/200),2)</f>
        <v>0</v>
      </c>
      <c r="X700" s="15" t="n">
        <f aca="false">PI()*POWER((Q700/200),2)</f>
        <v>0</v>
      </c>
      <c r="Y700" s="15" t="n">
        <f aca="false">PI()*POWER((R700/200),2)</f>
        <v>0</v>
      </c>
      <c r="Z700" s="15" t="n">
        <f aca="false">PI()*POWER((S700/200),2)</f>
        <v>0</v>
      </c>
      <c r="AA700" s="15" t="n">
        <f aca="false">PI()*POWER((T700/200),2)</f>
        <v>0</v>
      </c>
      <c r="AB700" s="15" t="n">
        <f aca="false">PI()*POWER((U700/200),2)</f>
        <v>0</v>
      </c>
    </row>
    <row r="701" customFormat="false" ht="15" hidden="false" customHeight="false" outlineLevel="0" collapsed="false">
      <c r="A701" s="2" t="s">
        <v>20</v>
      </c>
      <c r="B701" s="2" t="n">
        <v>3</v>
      </c>
      <c r="C701" s="9" t="n">
        <v>46265</v>
      </c>
      <c r="D701" s="2" t="n">
        <v>4</v>
      </c>
      <c r="E701" s="2" t="s">
        <v>35</v>
      </c>
      <c r="F701" s="2" t="s">
        <v>36</v>
      </c>
      <c r="G701" s="2" t="s">
        <v>37</v>
      </c>
      <c r="H701" s="2" t="s">
        <v>38</v>
      </c>
      <c r="I701" s="2" t="s">
        <v>39</v>
      </c>
      <c r="J701" s="2" t="n">
        <v>99</v>
      </c>
      <c r="K701" s="32" t="s">
        <v>162</v>
      </c>
      <c r="L701" s="15" t="n">
        <f aca="false">SUM(V701:AB701)</f>
        <v>0.0162860163162095</v>
      </c>
      <c r="M701" s="15" t="n">
        <f aca="false">MAX(O701:U701)</f>
        <v>14.4</v>
      </c>
      <c r="N701" s="15" t="n">
        <f aca="false">COUNTIF(M701,"&gt;9.9")</f>
        <v>1</v>
      </c>
      <c r="O701" s="2" t="n">
        <v>14.4</v>
      </c>
      <c r="V701" s="15" t="n">
        <f aca="false">PI()*POWER((O701/200),2)</f>
        <v>0.0162860163162095</v>
      </c>
      <c r="W701" s="15" t="n">
        <f aca="false">PI()*POWER((P701/200),2)</f>
        <v>0</v>
      </c>
      <c r="X701" s="15" t="n">
        <f aca="false">PI()*POWER((Q701/200),2)</f>
        <v>0</v>
      </c>
      <c r="Y701" s="15" t="n">
        <f aca="false">PI()*POWER((R701/200),2)</f>
        <v>0</v>
      </c>
      <c r="Z701" s="15" t="n">
        <f aca="false">PI()*POWER((S701/200),2)</f>
        <v>0</v>
      </c>
      <c r="AA701" s="15" t="n">
        <f aca="false">PI()*POWER((T701/200),2)</f>
        <v>0</v>
      </c>
      <c r="AB701" s="15" t="n">
        <f aca="false">PI()*POWER((U701/200),2)</f>
        <v>0</v>
      </c>
    </row>
    <row r="702" customFormat="false" ht="15" hidden="false" customHeight="false" outlineLevel="0" collapsed="false">
      <c r="A702" s="2" t="s">
        <v>20</v>
      </c>
      <c r="B702" s="2" t="n">
        <v>4</v>
      </c>
      <c r="C702" s="9" t="n">
        <v>46264</v>
      </c>
      <c r="D702" s="2" t="n">
        <v>1</v>
      </c>
      <c r="E702" s="2" t="s">
        <v>85</v>
      </c>
      <c r="F702" s="2" t="s">
        <v>21</v>
      </c>
      <c r="G702" s="2" t="s">
        <v>86</v>
      </c>
      <c r="H702" s="2" t="s">
        <v>23</v>
      </c>
      <c r="I702" s="2" t="s">
        <v>25</v>
      </c>
      <c r="J702" s="2" t="n">
        <v>24</v>
      </c>
      <c r="K702" s="32" t="s">
        <v>139</v>
      </c>
      <c r="L702" s="15" t="n">
        <f aca="false">SUM(V702:AB702)</f>
        <v>7.85398163397448E-005</v>
      </c>
      <c r="M702" s="15" t="n">
        <f aca="false">MAX(O702:U702)</f>
        <v>1</v>
      </c>
      <c r="N702" s="15" t="n">
        <f aca="false">COUNTIF(M702,"&gt;9.9")</f>
        <v>0</v>
      </c>
      <c r="O702" s="2" t="n">
        <v>1</v>
      </c>
      <c r="V702" s="15" t="n">
        <f aca="false">PI()*POWER((O702/200),2)</f>
        <v>7.85398163397448E-005</v>
      </c>
      <c r="W702" s="15" t="n">
        <f aca="false">PI()*POWER((P702/200),2)</f>
        <v>0</v>
      </c>
      <c r="X702" s="15" t="n">
        <f aca="false">PI()*POWER((Q702/200),2)</f>
        <v>0</v>
      </c>
      <c r="Y702" s="15" t="n">
        <f aca="false">PI()*POWER((R702/200),2)</f>
        <v>0</v>
      </c>
      <c r="Z702" s="15" t="n">
        <f aca="false">PI()*POWER((S702/200),2)</f>
        <v>0</v>
      </c>
      <c r="AA702" s="15" t="n">
        <f aca="false">PI()*POWER((T702/200),2)</f>
        <v>0</v>
      </c>
      <c r="AB702" s="15" t="n">
        <f aca="false">PI()*POWER((U702/200),2)</f>
        <v>0</v>
      </c>
    </row>
    <row r="703" customFormat="false" ht="15" hidden="false" customHeight="false" outlineLevel="0" collapsed="false">
      <c r="A703" s="2" t="s">
        <v>20</v>
      </c>
      <c r="B703" s="2" t="n">
        <v>4</v>
      </c>
      <c r="C703" s="9" t="n">
        <v>46264</v>
      </c>
      <c r="D703" s="2" t="n">
        <v>1</v>
      </c>
      <c r="E703" s="2" t="s">
        <v>85</v>
      </c>
      <c r="F703" s="2" t="s">
        <v>21</v>
      </c>
      <c r="G703" s="2" t="s">
        <v>86</v>
      </c>
      <c r="H703" s="2" t="s">
        <v>23</v>
      </c>
      <c r="I703" s="2" t="s">
        <v>25</v>
      </c>
      <c r="J703" s="2" t="n">
        <v>6</v>
      </c>
      <c r="K703" s="32" t="s">
        <v>139</v>
      </c>
      <c r="L703" s="15" t="n">
        <f aca="false">SUM(V703:AB703)</f>
        <v>0.000314159265358979</v>
      </c>
      <c r="M703" s="15" t="n">
        <f aca="false">MAX(O703:U703)</f>
        <v>2</v>
      </c>
      <c r="N703" s="15" t="n">
        <f aca="false">COUNTIF(M703,"&gt;9.9")</f>
        <v>0</v>
      </c>
      <c r="O703" s="2" t="n">
        <v>2</v>
      </c>
      <c r="V703" s="15" t="n">
        <f aca="false">PI()*POWER((O703/200),2)</f>
        <v>0.000314159265358979</v>
      </c>
      <c r="W703" s="15" t="n">
        <f aca="false">PI()*POWER((P703/200),2)</f>
        <v>0</v>
      </c>
      <c r="X703" s="15" t="n">
        <f aca="false">PI()*POWER((Q703/200),2)</f>
        <v>0</v>
      </c>
      <c r="Y703" s="15" t="n">
        <f aca="false">PI()*POWER((R703/200),2)</f>
        <v>0</v>
      </c>
      <c r="Z703" s="15" t="n">
        <f aca="false">PI()*POWER((S703/200),2)</f>
        <v>0</v>
      </c>
      <c r="AA703" s="15" t="n">
        <f aca="false">PI()*POWER((T703/200),2)</f>
        <v>0</v>
      </c>
      <c r="AB703" s="15" t="n">
        <f aca="false">PI()*POWER((U703/200),2)</f>
        <v>0</v>
      </c>
    </row>
    <row r="704" customFormat="false" ht="15" hidden="false" customHeight="false" outlineLevel="0" collapsed="false">
      <c r="A704" s="2" t="s">
        <v>20</v>
      </c>
      <c r="B704" s="2" t="n">
        <v>4</v>
      </c>
      <c r="C704" s="9" t="n">
        <v>46264</v>
      </c>
      <c r="D704" s="2" t="n">
        <v>1</v>
      </c>
      <c r="E704" s="2" t="s">
        <v>85</v>
      </c>
      <c r="F704" s="2" t="s">
        <v>21</v>
      </c>
      <c r="G704" s="2" t="s">
        <v>86</v>
      </c>
      <c r="H704" s="2" t="s">
        <v>23</v>
      </c>
      <c r="I704" s="2" t="s">
        <v>25</v>
      </c>
      <c r="J704" s="2" t="n">
        <v>11</v>
      </c>
      <c r="K704" s="32" t="s">
        <v>139</v>
      </c>
      <c r="L704" s="15" t="n">
        <f aca="false">SUM(V704:AB704)</f>
        <v>0.000314159265358979</v>
      </c>
      <c r="M704" s="15" t="n">
        <f aca="false">MAX(O704:U704)</f>
        <v>2</v>
      </c>
      <c r="N704" s="15" t="n">
        <f aca="false">COUNTIF(M704,"&gt;9.9")</f>
        <v>0</v>
      </c>
      <c r="O704" s="2" t="n">
        <v>2</v>
      </c>
      <c r="V704" s="15" t="n">
        <f aca="false">PI()*POWER((O704/200),2)</f>
        <v>0.000314159265358979</v>
      </c>
      <c r="W704" s="15" t="n">
        <f aca="false">PI()*POWER((P704/200),2)</f>
        <v>0</v>
      </c>
      <c r="X704" s="15" t="n">
        <f aca="false">PI()*POWER((Q704/200),2)</f>
        <v>0</v>
      </c>
      <c r="Y704" s="15" t="n">
        <f aca="false">PI()*POWER((R704/200),2)</f>
        <v>0</v>
      </c>
      <c r="Z704" s="15" t="n">
        <f aca="false">PI()*POWER((S704/200),2)</f>
        <v>0</v>
      </c>
      <c r="AA704" s="15" t="n">
        <f aca="false">PI()*POWER((T704/200),2)</f>
        <v>0</v>
      </c>
      <c r="AB704" s="15" t="n">
        <f aca="false">PI()*POWER((U704/200),2)</f>
        <v>0</v>
      </c>
    </row>
    <row r="705" customFormat="false" ht="15" hidden="false" customHeight="false" outlineLevel="0" collapsed="false">
      <c r="A705" s="2" t="s">
        <v>20</v>
      </c>
      <c r="B705" s="2" t="n">
        <v>4</v>
      </c>
      <c r="C705" s="9" t="n">
        <v>46264</v>
      </c>
      <c r="D705" s="2" t="n">
        <v>1</v>
      </c>
      <c r="E705" s="2" t="s">
        <v>85</v>
      </c>
      <c r="F705" s="2" t="s">
        <v>21</v>
      </c>
      <c r="G705" s="2" t="s">
        <v>86</v>
      </c>
      <c r="H705" s="2" t="s">
        <v>23</v>
      </c>
      <c r="I705" s="2" t="s">
        <v>25</v>
      </c>
      <c r="J705" s="2" t="n">
        <v>16</v>
      </c>
      <c r="K705" s="32" t="s">
        <v>139</v>
      </c>
      <c r="L705" s="15" t="n">
        <f aca="false">SUM(V705:AB705)</f>
        <v>0.000314159265358979</v>
      </c>
      <c r="M705" s="15" t="n">
        <f aca="false">MAX(O705:U705)</f>
        <v>2</v>
      </c>
      <c r="N705" s="15" t="n">
        <f aca="false">COUNTIF(M705,"&gt;9.9")</f>
        <v>0</v>
      </c>
      <c r="O705" s="2" t="n">
        <v>2</v>
      </c>
      <c r="V705" s="15" t="n">
        <f aca="false">PI()*POWER((O705/200),2)</f>
        <v>0.000314159265358979</v>
      </c>
      <c r="W705" s="15" t="n">
        <f aca="false">PI()*POWER((P705/200),2)</f>
        <v>0</v>
      </c>
      <c r="X705" s="15" t="n">
        <f aca="false">PI()*POWER((Q705/200),2)</f>
        <v>0</v>
      </c>
      <c r="Y705" s="15" t="n">
        <f aca="false">PI()*POWER((R705/200),2)</f>
        <v>0</v>
      </c>
      <c r="Z705" s="15" t="n">
        <f aca="false">PI()*POWER((S705/200),2)</f>
        <v>0</v>
      </c>
      <c r="AA705" s="15" t="n">
        <f aca="false">PI()*POWER((T705/200),2)</f>
        <v>0</v>
      </c>
      <c r="AB705" s="15" t="n">
        <f aca="false">PI()*POWER((U705/200),2)</f>
        <v>0</v>
      </c>
    </row>
    <row r="706" customFormat="false" ht="15" hidden="false" customHeight="false" outlineLevel="0" collapsed="false">
      <c r="A706" s="2" t="s">
        <v>20</v>
      </c>
      <c r="B706" s="2" t="n">
        <v>4</v>
      </c>
      <c r="C706" s="9" t="n">
        <v>46264</v>
      </c>
      <c r="D706" s="2" t="n">
        <v>1</v>
      </c>
      <c r="E706" s="2" t="s">
        <v>85</v>
      </c>
      <c r="F706" s="2" t="s">
        <v>21</v>
      </c>
      <c r="G706" s="2" t="s">
        <v>86</v>
      </c>
      <c r="H706" s="2" t="s">
        <v>23</v>
      </c>
      <c r="I706" s="2" t="s">
        <v>25</v>
      </c>
      <c r="J706" s="2" t="n">
        <v>25</v>
      </c>
      <c r="K706" s="32" t="s">
        <v>139</v>
      </c>
      <c r="L706" s="15" t="n">
        <f aca="false">SUM(V706:AB706)</f>
        <v>0.000314159265358979</v>
      </c>
      <c r="M706" s="15" t="n">
        <f aca="false">MAX(O706:U706)</f>
        <v>2</v>
      </c>
      <c r="N706" s="15" t="n">
        <f aca="false">COUNTIF(M706,"&gt;9.9")</f>
        <v>0</v>
      </c>
      <c r="O706" s="2" t="n">
        <v>2</v>
      </c>
      <c r="V706" s="15" t="n">
        <f aca="false">PI()*POWER((O706/200),2)</f>
        <v>0.000314159265358979</v>
      </c>
      <c r="W706" s="15" t="n">
        <f aca="false">PI()*POWER((P706/200),2)</f>
        <v>0</v>
      </c>
      <c r="X706" s="15" t="n">
        <f aca="false">PI()*POWER((Q706/200),2)</f>
        <v>0</v>
      </c>
      <c r="Y706" s="15" t="n">
        <f aca="false">PI()*POWER((R706/200),2)</f>
        <v>0</v>
      </c>
      <c r="Z706" s="15" t="n">
        <f aca="false">PI()*POWER((S706/200),2)</f>
        <v>0</v>
      </c>
      <c r="AA706" s="15" t="n">
        <f aca="false">PI()*POWER((T706/200),2)</f>
        <v>0</v>
      </c>
      <c r="AB706" s="15" t="n">
        <f aca="false">PI()*POWER((U706/200),2)</f>
        <v>0</v>
      </c>
    </row>
    <row r="707" customFormat="false" ht="15" hidden="false" customHeight="false" outlineLevel="0" collapsed="false">
      <c r="A707" s="2" t="s">
        <v>20</v>
      </c>
      <c r="B707" s="2" t="n">
        <v>4</v>
      </c>
      <c r="C707" s="9" t="n">
        <v>46264</v>
      </c>
      <c r="D707" s="2" t="n">
        <v>1</v>
      </c>
      <c r="E707" s="2" t="s">
        <v>85</v>
      </c>
      <c r="F707" s="2" t="s">
        <v>21</v>
      </c>
      <c r="G707" s="2" t="s">
        <v>86</v>
      </c>
      <c r="H707" s="2" t="s">
        <v>23</v>
      </c>
      <c r="I707" s="2" t="s">
        <v>25</v>
      </c>
      <c r="J707" s="2" t="n">
        <v>27</v>
      </c>
      <c r="K707" s="32" t="s">
        <v>139</v>
      </c>
      <c r="L707" s="15" t="n">
        <f aca="false">SUM(V707:AB707)</f>
        <v>0.000314159265358979</v>
      </c>
      <c r="M707" s="15" t="n">
        <f aca="false">MAX(O707:U707)</f>
        <v>2</v>
      </c>
      <c r="N707" s="15" t="n">
        <f aca="false">COUNTIF(M707,"&gt;9.9")</f>
        <v>0</v>
      </c>
      <c r="O707" s="2" t="n">
        <v>2</v>
      </c>
      <c r="V707" s="15" t="n">
        <f aca="false">PI()*POWER((O707/200),2)</f>
        <v>0.000314159265358979</v>
      </c>
      <c r="W707" s="15" t="n">
        <f aca="false">PI()*POWER((P707/200),2)</f>
        <v>0</v>
      </c>
      <c r="X707" s="15" t="n">
        <f aca="false">PI()*POWER((Q707/200),2)</f>
        <v>0</v>
      </c>
      <c r="Y707" s="15" t="n">
        <f aca="false">PI()*POWER((R707/200),2)</f>
        <v>0</v>
      </c>
      <c r="Z707" s="15" t="n">
        <f aca="false">PI()*POWER((S707/200),2)</f>
        <v>0</v>
      </c>
      <c r="AA707" s="15" t="n">
        <f aca="false">PI()*POWER((T707/200),2)</f>
        <v>0</v>
      </c>
      <c r="AB707" s="15" t="n">
        <f aca="false">PI()*POWER((U707/200),2)</f>
        <v>0</v>
      </c>
    </row>
    <row r="708" customFormat="false" ht="15" hidden="false" customHeight="false" outlineLevel="0" collapsed="false">
      <c r="A708" s="2" t="s">
        <v>20</v>
      </c>
      <c r="B708" s="2" t="n">
        <v>4</v>
      </c>
      <c r="C708" s="9" t="n">
        <v>46264</v>
      </c>
      <c r="D708" s="2" t="n">
        <v>1</v>
      </c>
      <c r="E708" s="2" t="s">
        <v>85</v>
      </c>
      <c r="F708" s="2" t="s">
        <v>21</v>
      </c>
      <c r="G708" s="2" t="s">
        <v>86</v>
      </c>
      <c r="H708" s="2" t="s">
        <v>23</v>
      </c>
      <c r="I708" s="2" t="s">
        <v>25</v>
      </c>
      <c r="J708" s="2" t="n">
        <v>1</v>
      </c>
      <c r="K708" s="32" t="s">
        <v>139</v>
      </c>
      <c r="L708" s="15" t="n">
        <f aca="false">SUM(V708:AB708)</f>
        <v>0.000706858347057703</v>
      </c>
      <c r="M708" s="15" t="n">
        <f aca="false">MAX(O708:U708)</f>
        <v>3</v>
      </c>
      <c r="N708" s="15" t="n">
        <f aca="false">COUNTIF(M708,"&gt;9.9")</f>
        <v>0</v>
      </c>
      <c r="O708" s="2" t="n">
        <v>3</v>
      </c>
      <c r="V708" s="15" t="n">
        <f aca="false">PI()*POWER((O708/200),2)</f>
        <v>0.000706858347057703</v>
      </c>
      <c r="W708" s="15" t="n">
        <f aca="false">PI()*POWER((P708/200),2)</f>
        <v>0</v>
      </c>
      <c r="X708" s="15" t="n">
        <f aca="false">PI()*POWER((Q708/200),2)</f>
        <v>0</v>
      </c>
      <c r="Y708" s="15" t="n">
        <f aca="false">PI()*POWER((R708/200),2)</f>
        <v>0</v>
      </c>
      <c r="Z708" s="15" t="n">
        <f aca="false">PI()*POWER((S708/200),2)</f>
        <v>0</v>
      </c>
      <c r="AA708" s="15" t="n">
        <f aca="false">PI()*POWER((T708/200),2)</f>
        <v>0</v>
      </c>
      <c r="AB708" s="15" t="n">
        <f aca="false">PI()*POWER((U708/200),2)</f>
        <v>0</v>
      </c>
    </row>
    <row r="709" customFormat="false" ht="15" hidden="false" customHeight="false" outlineLevel="0" collapsed="false">
      <c r="A709" s="2" t="s">
        <v>20</v>
      </c>
      <c r="B709" s="2" t="n">
        <v>4</v>
      </c>
      <c r="C709" s="9" t="n">
        <v>46264</v>
      </c>
      <c r="D709" s="2" t="n">
        <v>1</v>
      </c>
      <c r="E709" s="2" t="s">
        <v>85</v>
      </c>
      <c r="F709" s="2" t="s">
        <v>21</v>
      </c>
      <c r="G709" s="2" t="s">
        <v>86</v>
      </c>
      <c r="H709" s="2" t="s">
        <v>23</v>
      </c>
      <c r="I709" s="2" t="s">
        <v>25</v>
      </c>
      <c r="J709" s="2" t="n">
        <v>2</v>
      </c>
      <c r="K709" s="32" t="s">
        <v>139</v>
      </c>
      <c r="L709" s="15" t="n">
        <f aca="false">SUM(V709:AB709)</f>
        <v>0.000706858347057703</v>
      </c>
      <c r="M709" s="15" t="n">
        <f aca="false">MAX(O709:U709)</f>
        <v>3</v>
      </c>
      <c r="N709" s="15" t="n">
        <f aca="false">COUNTIF(M709,"&gt;9.9")</f>
        <v>0</v>
      </c>
      <c r="O709" s="2" t="n">
        <v>3</v>
      </c>
      <c r="V709" s="15" t="n">
        <f aca="false">PI()*POWER((O709/200),2)</f>
        <v>0.000706858347057703</v>
      </c>
      <c r="W709" s="15" t="n">
        <f aca="false">PI()*POWER((P709/200),2)</f>
        <v>0</v>
      </c>
      <c r="X709" s="15" t="n">
        <f aca="false">PI()*POWER((Q709/200),2)</f>
        <v>0</v>
      </c>
      <c r="Y709" s="15" t="n">
        <f aca="false">PI()*POWER((R709/200),2)</f>
        <v>0</v>
      </c>
      <c r="Z709" s="15" t="n">
        <f aca="false">PI()*POWER((S709/200),2)</f>
        <v>0</v>
      </c>
      <c r="AA709" s="15" t="n">
        <f aca="false">PI()*POWER((T709/200),2)</f>
        <v>0</v>
      </c>
      <c r="AB709" s="15" t="n">
        <f aca="false">PI()*POWER((U709/200),2)</f>
        <v>0</v>
      </c>
    </row>
    <row r="710" customFormat="false" ht="15" hidden="false" customHeight="false" outlineLevel="0" collapsed="false">
      <c r="A710" s="2" t="s">
        <v>20</v>
      </c>
      <c r="B710" s="2" t="n">
        <v>4</v>
      </c>
      <c r="C710" s="9" t="n">
        <v>46264</v>
      </c>
      <c r="D710" s="2" t="n">
        <v>1</v>
      </c>
      <c r="E710" s="2" t="s">
        <v>85</v>
      </c>
      <c r="F710" s="2" t="s">
        <v>21</v>
      </c>
      <c r="G710" s="2" t="s">
        <v>86</v>
      </c>
      <c r="H710" s="2" t="s">
        <v>23</v>
      </c>
      <c r="I710" s="2" t="s">
        <v>25</v>
      </c>
      <c r="J710" s="2" t="n">
        <v>9</v>
      </c>
      <c r="K710" s="32" t="s">
        <v>139</v>
      </c>
      <c r="L710" s="15" t="n">
        <f aca="false">SUM(V710:AB710)</f>
        <v>0.000706858347057703</v>
      </c>
      <c r="M710" s="15" t="n">
        <f aca="false">MAX(O710:U710)</f>
        <v>3</v>
      </c>
      <c r="N710" s="15" t="n">
        <f aca="false">COUNTIF(M710,"&gt;9.9")</f>
        <v>0</v>
      </c>
      <c r="O710" s="2" t="n">
        <v>3</v>
      </c>
      <c r="V710" s="15" t="n">
        <f aca="false">PI()*POWER((O710/200),2)</f>
        <v>0.000706858347057703</v>
      </c>
      <c r="W710" s="15" t="n">
        <f aca="false">PI()*POWER((P710/200),2)</f>
        <v>0</v>
      </c>
      <c r="X710" s="15" t="n">
        <f aca="false">PI()*POWER((Q710/200),2)</f>
        <v>0</v>
      </c>
      <c r="Y710" s="15" t="n">
        <f aca="false">PI()*POWER((R710/200),2)</f>
        <v>0</v>
      </c>
      <c r="Z710" s="15" t="n">
        <f aca="false">PI()*POWER((S710/200),2)</f>
        <v>0</v>
      </c>
      <c r="AA710" s="15" t="n">
        <f aca="false">PI()*POWER((T710/200),2)</f>
        <v>0</v>
      </c>
      <c r="AB710" s="15" t="n">
        <f aca="false">PI()*POWER((U710/200),2)</f>
        <v>0</v>
      </c>
    </row>
    <row r="711" customFormat="false" ht="15" hidden="false" customHeight="false" outlineLevel="0" collapsed="false">
      <c r="A711" s="2" t="s">
        <v>20</v>
      </c>
      <c r="B711" s="2" t="n">
        <v>4</v>
      </c>
      <c r="C711" s="9" t="n">
        <v>46264</v>
      </c>
      <c r="D711" s="2" t="n">
        <v>1</v>
      </c>
      <c r="E711" s="2" t="s">
        <v>85</v>
      </c>
      <c r="F711" s="2" t="s">
        <v>21</v>
      </c>
      <c r="G711" s="2" t="s">
        <v>86</v>
      </c>
      <c r="H711" s="2" t="s">
        <v>23</v>
      </c>
      <c r="I711" s="2" t="s">
        <v>25</v>
      </c>
      <c r="J711" s="2" t="n">
        <v>17</v>
      </c>
      <c r="K711" s="32" t="s">
        <v>139</v>
      </c>
      <c r="L711" s="15" t="n">
        <f aca="false">SUM(V711:AB711)</f>
        <v>0.000706858347057703</v>
      </c>
      <c r="M711" s="15" t="n">
        <f aca="false">MAX(O711:U711)</f>
        <v>3</v>
      </c>
      <c r="N711" s="15" t="n">
        <f aca="false">COUNTIF(M711,"&gt;9.9")</f>
        <v>0</v>
      </c>
      <c r="O711" s="2" t="n">
        <v>3</v>
      </c>
      <c r="V711" s="15" t="n">
        <f aca="false">PI()*POWER((O711/200),2)</f>
        <v>0.000706858347057703</v>
      </c>
      <c r="W711" s="15" t="n">
        <f aca="false">PI()*POWER((P711/200),2)</f>
        <v>0</v>
      </c>
      <c r="X711" s="15" t="n">
        <f aca="false">PI()*POWER((Q711/200),2)</f>
        <v>0</v>
      </c>
      <c r="Y711" s="15" t="n">
        <f aca="false">PI()*POWER((R711/200),2)</f>
        <v>0</v>
      </c>
      <c r="Z711" s="15" t="n">
        <f aca="false">PI()*POWER((S711/200),2)</f>
        <v>0</v>
      </c>
      <c r="AA711" s="15" t="n">
        <f aca="false">PI()*POWER((T711/200),2)</f>
        <v>0</v>
      </c>
      <c r="AB711" s="15" t="n">
        <f aca="false">PI()*POWER((U711/200),2)</f>
        <v>0</v>
      </c>
    </row>
    <row r="712" customFormat="false" ht="15" hidden="false" customHeight="false" outlineLevel="0" collapsed="false">
      <c r="A712" s="2" t="s">
        <v>20</v>
      </c>
      <c r="B712" s="2" t="n">
        <v>4</v>
      </c>
      <c r="C712" s="9" t="n">
        <v>46264</v>
      </c>
      <c r="D712" s="2" t="n">
        <v>1</v>
      </c>
      <c r="E712" s="2" t="s">
        <v>85</v>
      </c>
      <c r="F712" s="2" t="s">
        <v>21</v>
      </c>
      <c r="G712" s="2" t="s">
        <v>86</v>
      </c>
      <c r="H712" s="2" t="s">
        <v>23</v>
      </c>
      <c r="I712" s="2" t="s">
        <v>25</v>
      </c>
      <c r="J712" s="2" t="n">
        <v>3</v>
      </c>
      <c r="K712" s="32" t="s">
        <v>139</v>
      </c>
      <c r="L712" s="15" t="n">
        <f aca="false">SUM(V712:AB712)</f>
        <v>0.00125663706143592</v>
      </c>
      <c r="M712" s="15" t="n">
        <f aca="false">MAX(O712:U712)</f>
        <v>4</v>
      </c>
      <c r="N712" s="15" t="n">
        <f aca="false">COUNTIF(M712,"&gt;9.9")</f>
        <v>0</v>
      </c>
      <c r="O712" s="2" t="n">
        <v>4</v>
      </c>
      <c r="V712" s="15" t="n">
        <f aca="false">PI()*POWER((O712/200),2)</f>
        <v>0.00125663706143592</v>
      </c>
      <c r="W712" s="15" t="n">
        <f aca="false">PI()*POWER((P712/200),2)</f>
        <v>0</v>
      </c>
      <c r="X712" s="15" t="n">
        <f aca="false">PI()*POWER((Q712/200),2)</f>
        <v>0</v>
      </c>
      <c r="Y712" s="15" t="n">
        <f aca="false">PI()*POWER((R712/200),2)</f>
        <v>0</v>
      </c>
      <c r="Z712" s="15" t="n">
        <f aca="false">PI()*POWER((S712/200),2)</f>
        <v>0</v>
      </c>
      <c r="AA712" s="15" t="n">
        <f aca="false">PI()*POWER((T712/200),2)</f>
        <v>0</v>
      </c>
      <c r="AB712" s="15" t="n">
        <f aca="false">PI()*POWER((U712/200),2)</f>
        <v>0</v>
      </c>
    </row>
    <row r="713" customFormat="false" ht="15" hidden="false" customHeight="false" outlineLevel="0" collapsed="false">
      <c r="A713" s="2" t="s">
        <v>20</v>
      </c>
      <c r="B713" s="2" t="n">
        <v>4</v>
      </c>
      <c r="C713" s="9" t="n">
        <v>46264</v>
      </c>
      <c r="D713" s="2" t="n">
        <v>1</v>
      </c>
      <c r="E713" s="2" t="s">
        <v>85</v>
      </c>
      <c r="F713" s="2" t="s">
        <v>21</v>
      </c>
      <c r="G713" s="2" t="s">
        <v>86</v>
      </c>
      <c r="H713" s="2" t="s">
        <v>23</v>
      </c>
      <c r="I713" s="2" t="s">
        <v>25</v>
      </c>
      <c r="J713" s="2" t="n">
        <v>4</v>
      </c>
      <c r="K713" s="32" t="s">
        <v>139</v>
      </c>
      <c r="L713" s="15" t="n">
        <f aca="false">SUM(V713:AB713)</f>
        <v>0.00125663706143592</v>
      </c>
      <c r="M713" s="15" t="n">
        <f aca="false">MAX(O713:U713)</f>
        <v>4</v>
      </c>
      <c r="N713" s="15" t="n">
        <f aca="false">COUNTIF(M713,"&gt;9.9")</f>
        <v>0</v>
      </c>
      <c r="O713" s="2" t="n">
        <v>4</v>
      </c>
      <c r="V713" s="15" t="n">
        <f aca="false">PI()*POWER((O713/200),2)</f>
        <v>0.00125663706143592</v>
      </c>
      <c r="W713" s="15" t="n">
        <f aca="false">PI()*POWER((P713/200),2)</f>
        <v>0</v>
      </c>
      <c r="X713" s="15" t="n">
        <f aca="false">PI()*POWER((Q713/200),2)</f>
        <v>0</v>
      </c>
      <c r="Y713" s="15" t="n">
        <f aca="false">PI()*POWER((R713/200),2)</f>
        <v>0</v>
      </c>
      <c r="Z713" s="15" t="n">
        <f aca="false">PI()*POWER((S713/200),2)</f>
        <v>0</v>
      </c>
      <c r="AA713" s="15" t="n">
        <f aca="false">PI()*POWER((T713/200),2)</f>
        <v>0</v>
      </c>
      <c r="AB713" s="15" t="n">
        <f aca="false">PI()*POWER((U713/200),2)</f>
        <v>0</v>
      </c>
    </row>
    <row r="714" customFormat="false" ht="15" hidden="false" customHeight="false" outlineLevel="0" collapsed="false">
      <c r="A714" s="2" t="s">
        <v>20</v>
      </c>
      <c r="B714" s="2" t="n">
        <v>4</v>
      </c>
      <c r="C714" s="9" t="n">
        <v>46264</v>
      </c>
      <c r="D714" s="2" t="n">
        <v>1</v>
      </c>
      <c r="E714" s="2" t="s">
        <v>85</v>
      </c>
      <c r="F714" s="2" t="s">
        <v>21</v>
      </c>
      <c r="G714" s="2" t="s">
        <v>86</v>
      </c>
      <c r="H714" s="2" t="s">
        <v>23</v>
      </c>
      <c r="I714" s="2" t="s">
        <v>25</v>
      </c>
      <c r="J714" s="2" t="n">
        <v>5</v>
      </c>
      <c r="K714" s="32" t="s">
        <v>139</v>
      </c>
      <c r="L714" s="15" t="n">
        <f aca="false">SUM(V714:AB714)</f>
        <v>0.00125663706143592</v>
      </c>
      <c r="M714" s="15" t="n">
        <f aca="false">MAX(O714:U714)</f>
        <v>4</v>
      </c>
      <c r="N714" s="15" t="n">
        <f aca="false">COUNTIF(M714,"&gt;9.9")</f>
        <v>0</v>
      </c>
      <c r="O714" s="2" t="n">
        <v>4</v>
      </c>
      <c r="V714" s="15" t="n">
        <f aca="false">PI()*POWER((O714/200),2)</f>
        <v>0.00125663706143592</v>
      </c>
      <c r="W714" s="15" t="n">
        <f aca="false">PI()*POWER((P714/200),2)</f>
        <v>0</v>
      </c>
      <c r="X714" s="15" t="n">
        <f aca="false">PI()*POWER((Q714/200),2)</f>
        <v>0</v>
      </c>
      <c r="Y714" s="15" t="n">
        <f aca="false">PI()*POWER((R714/200),2)</f>
        <v>0</v>
      </c>
      <c r="Z714" s="15" t="n">
        <f aca="false">PI()*POWER((S714/200),2)</f>
        <v>0</v>
      </c>
      <c r="AA714" s="15" t="n">
        <f aca="false">PI()*POWER((T714/200),2)</f>
        <v>0</v>
      </c>
      <c r="AB714" s="15" t="n">
        <f aca="false">PI()*POWER((U714/200),2)</f>
        <v>0</v>
      </c>
    </row>
    <row r="715" customFormat="false" ht="15" hidden="false" customHeight="false" outlineLevel="0" collapsed="false">
      <c r="A715" s="2" t="s">
        <v>20</v>
      </c>
      <c r="B715" s="2" t="n">
        <v>4</v>
      </c>
      <c r="C715" s="9" t="n">
        <v>46264</v>
      </c>
      <c r="D715" s="2" t="n">
        <v>1</v>
      </c>
      <c r="E715" s="2" t="s">
        <v>85</v>
      </c>
      <c r="F715" s="2" t="s">
        <v>21</v>
      </c>
      <c r="G715" s="2" t="s">
        <v>86</v>
      </c>
      <c r="H715" s="2" t="s">
        <v>23</v>
      </c>
      <c r="I715" s="2" t="s">
        <v>25</v>
      </c>
      <c r="J715" s="2" t="n">
        <v>8</v>
      </c>
      <c r="K715" s="32" t="s">
        <v>139</v>
      </c>
      <c r="L715" s="15" t="n">
        <f aca="false">SUM(V715:AB715)</f>
        <v>0.00125663706143592</v>
      </c>
      <c r="M715" s="15" t="n">
        <f aca="false">MAX(O715:U715)</f>
        <v>4</v>
      </c>
      <c r="N715" s="15" t="n">
        <f aca="false">COUNTIF(M715,"&gt;9.9")</f>
        <v>0</v>
      </c>
      <c r="O715" s="2" t="n">
        <v>4</v>
      </c>
      <c r="V715" s="15" t="n">
        <f aca="false">PI()*POWER((O715/200),2)</f>
        <v>0.00125663706143592</v>
      </c>
      <c r="W715" s="15" t="n">
        <f aca="false">PI()*POWER((P715/200),2)</f>
        <v>0</v>
      </c>
      <c r="X715" s="15" t="n">
        <f aca="false">PI()*POWER((Q715/200),2)</f>
        <v>0</v>
      </c>
      <c r="Y715" s="15" t="n">
        <f aca="false">PI()*POWER((R715/200),2)</f>
        <v>0</v>
      </c>
      <c r="Z715" s="15" t="n">
        <f aca="false">PI()*POWER((S715/200),2)</f>
        <v>0</v>
      </c>
      <c r="AA715" s="15" t="n">
        <f aca="false">PI()*POWER((T715/200),2)</f>
        <v>0</v>
      </c>
      <c r="AB715" s="15" t="n">
        <f aca="false">PI()*POWER((U715/200),2)</f>
        <v>0</v>
      </c>
    </row>
    <row r="716" customFormat="false" ht="15" hidden="false" customHeight="false" outlineLevel="0" collapsed="false">
      <c r="A716" s="2" t="s">
        <v>20</v>
      </c>
      <c r="B716" s="2" t="n">
        <v>4</v>
      </c>
      <c r="C716" s="9" t="n">
        <v>46264</v>
      </c>
      <c r="D716" s="2" t="n">
        <v>1</v>
      </c>
      <c r="E716" s="2" t="s">
        <v>85</v>
      </c>
      <c r="F716" s="2" t="s">
        <v>21</v>
      </c>
      <c r="G716" s="2" t="s">
        <v>86</v>
      </c>
      <c r="H716" s="2" t="s">
        <v>23</v>
      </c>
      <c r="I716" s="2" t="s">
        <v>25</v>
      </c>
      <c r="J716" s="2" t="n">
        <v>10</v>
      </c>
      <c r="K716" s="32" t="s">
        <v>139</v>
      </c>
      <c r="L716" s="15" t="n">
        <f aca="false">SUM(V716:AB716)</f>
        <v>0.00125663706143592</v>
      </c>
      <c r="M716" s="15" t="n">
        <f aca="false">MAX(O716:U716)</f>
        <v>4</v>
      </c>
      <c r="N716" s="15" t="n">
        <f aca="false">COUNTIF(M716,"&gt;9.9")</f>
        <v>0</v>
      </c>
      <c r="O716" s="2" t="n">
        <v>4</v>
      </c>
      <c r="V716" s="15" t="n">
        <f aca="false">PI()*POWER((O716/200),2)</f>
        <v>0.00125663706143592</v>
      </c>
      <c r="W716" s="15" t="n">
        <f aca="false">PI()*POWER((P716/200),2)</f>
        <v>0</v>
      </c>
      <c r="X716" s="15" t="n">
        <f aca="false">PI()*POWER((Q716/200),2)</f>
        <v>0</v>
      </c>
      <c r="Y716" s="15" t="n">
        <f aca="false">PI()*POWER((R716/200),2)</f>
        <v>0</v>
      </c>
      <c r="Z716" s="15" t="n">
        <f aca="false">PI()*POWER((S716/200),2)</f>
        <v>0</v>
      </c>
      <c r="AA716" s="15" t="n">
        <f aca="false">PI()*POWER((T716/200),2)</f>
        <v>0</v>
      </c>
      <c r="AB716" s="15" t="n">
        <f aca="false">PI()*POWER((U716/200),2)</f>
        <v>0</v>
      </c>
    </row>
    <row r="717" customFormat="false" ht="15" hidden="false" customHeight="false" outlineLevel="0" collapsed="false">
      <c r="A717" s="2" t="s">
        <v>20</v>
      </c>
      <c r="B717" s="2" t="n">
        <v>4</v>
      </c>
      <c r="C717" s="9" t="n">
        <v>46264</v>
      </c>
      <c r="D717" s="2" t="n">
        <v>1</v>
      </c>
      <c r="E717" s="2" t="s">
        <v>85</v>
      </c>
      <c r="F717" s="2" t="s">
        <v>21</v>
      </c>
      <c r="G717" s="2" t="s">
        <v>86</v>
      </c>
      <c r="H717" s="2" t="s">
        <v>23</v>
      </c>
      <c r="I717" s="2" t="s">
        <v>25</v>
      </c>
      <c r="J717" s="2" t="n">
        <v>13</v>
      </c>
      <c r="K717" s="32" t="s">
        <v>139</v>
      </c>
      <c r="L717" s="15" t="n">
        <f aca="false">SUM(V717:AB717)</f>
        <v>0.00125663706143592</v>
      </c>
      <c r="M717" s="15" t="n">
        <f aca="false">MAX(O717:U717)</f>
        <v>4</v>
      </c>
      <c r="N717" s="15" t="n">
        <f aca="false">COUNTIF(M717,"&gt;9.9")</f>
        <v>0</v>
      </c>
      <c r="O717" s="2" t="n">
        <v>4</v>
      </c>
      <c r="V717" s="15" t="n">
        <f aca="false">PI()*POWER((O717/200),2)</f>
        <v>0.00125663706143592</v>
      </c>
      <c r="W717" s="15" t="n">
        <f aca="false">PI()*POWER((P717/200),2)</f>
        <v>0</v>
      </c>
      <c r="X717" s="15" t="n">
        <f aca="false">PI()*POWER((Q717/200),2)</f>
        <v>0</v>
      </c>
      <c r="Y717" s="15" t="n">
        <f aca="false">PI()*POWER((R717/200),2)</f>
        <v>0</v>
      </c>
      <c r="Z717" s="15" t="n">
        <f aca="false">PI()*POWER((S717/200),2)</f>
        <v>0</v>
      </c>
      <c r="AA717" s="15" t="n">
        <f aca="false">PI()*POWER((T717/200),2)</f>
        <v>0</v>
      </c>
      <c r="AB717" s="15" t="n">
        <f aca="false">PI()*POWER((U717/200),2)</f>
        <v>0</v>
      </c>
    </row>
    <row r="718" customFormat="false" ht="15" hidden="false" customHeight="false" outlineLevel="0" collapsed="false">
      <c r="A718" s="2" t="s">
        <v>20</v>
      </c>
      <c r="B718" s="2" t="n">
        <v>4</v>
      </c>
      <c r="C718" s="9" t="n">
        <v>46264</v>
      </c>
      <c r="D718" s="2" t="n">
        <v>1</v>
      </c>
      <c r="E718" s="2" t="s">
        <v>85</v>
      </c>
      <c r="F718" s="2" t="s">
        <v>21</v>
      </c>
      <c r="G718" s="2" t="s">
        <v>86</v>
      </c>
      <c r="H718" s="2" t="s">
        <v>23</v>
      </c>
      <c r="I718" s="2" t="s">
        <v>25</v>
      </c>
      <c r="J718" s="2" t="n">
        <v>14</v>
      </c>
      <c r="K718" s="32" t="s">
        <v>139</v>
      </c>
      <c r="L718" s="15" t="n">
        <f aca="false">SUM(V718:AB718)</f>
        <v>0.00125663706143592</v>
      </c>
      <c r="M718" s="15" t="n">
        <f aca="false">MAX(O718:U718)</f>
        <v>4</v>
      </c>
      <c r="N718" s="15" t="n">
        <f aca="false">COUNTIF(M718,"&gt;9.9")</f>
        <v>0</v>
      </c>
      <c r="O718" s="2" t="n">
        <v>4</v>
      </c>
      <c r="V718" s="15" t="n">
        <f aca="false">PI()*POWER((O718/200),2)</f>
        <v>0.00125663706143592</v>
      </c>
      <c r="W718" s="15" t="n">
        <f aca="false">PI()*POWER((P718/200),2)</f>
        <v>0</v>
      </c>
      <c r="X718" s="15" t="n">
        <f aca="false">PI()*POWER((Q718/200),2)</f>
        <v>0</v>
      </c>
      <c r="Y718" s="15" t="n">
        <f aca="false">PI()*POWER((R718/200),2)</f>
        <v>0</v>
      </c>
      <c r="Z718" s="15" t="n">
        <f aca="false">PI()*POWER((S718/200),2)</f>
        <v>0</v>
      </c>
      <c r="AA718" s="15" t="n">
        <f aca="false">PI()*POWER((T718/200),2)</f>
        <v>0</v>
      </c>
      <c r="AB718" s="15" t="n">
        <f aca="false">PI()*POWER((U718/200),2)</f>
        <v>0</v>
      </c>
    </row>
    <row r="719" customFormat="false" ht="15" hidden="false" customHeight="false" outlineLevel="0" collapsed="false">
      <c r="A719" s="2" t="s">
        <v>20</v>
      </c>
      <c r="B719" s="2" t="n">
        <v>4</v>
      </c>
      <c r="C719" s="9" t="n">
        <v>46264</v>
      </c>
      <c r="D719" s="2" t="n">
        <v>1</v>
      </c>
      <c r="E719" s="2" t="s">
        <v>85</v>
      </c>
      <c r="F719" s="2" t="s">
        <v>21</v>
      </c>
      <c r="G719" s="2" t="s">
        <v>86</v>
      </c>
      <c r="H719" s="2" t="s">
        <v>23</v>
      </c>
      <c r="I719" s="2" t="s">
        <v>25</v>
      </c>
      <c r="J719" s="2" t="n">
        <v>15</v>
      </c>
      <c r="K719" s="32" t="s">
        <v>139</v>
      </c>
      <c r="L719" s="15" t="n">
        <f aca="false">SUM(V719:AB719)</f>
        <v>0.00125663706143592</v>
      </c>
      <c r="M719" s="15" t="n">
        <f aca="false">MAX(O719:U719)</f>
        <v>4</v>
      </c>
      <c r="N719" s="15" t="n">
        <f aca="false">COUNTIF(M719,"&gt;9.9")</f>
        <v>0</v>
      </c>
      <c r="O719" s="2" t="n">
        <v>4</v>
      </c>
      <c r="V719" s="15" t="n">
        <f aca="false">PI()*POWER((O719/200),2)</f>
        <v>0.00125663706143592</v>
      </c>
      <c r="W719" s="15" t="n">
        <f aca="false">PI()*POWER((P719/200),2)</f>
        <v>0</v>
      </c>
      <c r="X719" s="15" t="n">
        <f aca="false">PI()*POWER((Q719/200),2)</f>
        <v>0</v>
      </c>
      <c r="Y719" s="15" t="n">
        <f aca="false">PI()*POWER((R719/200),2)</f>
        <v>0</v>
      </c>
      <c r="Z719" s="15" t="n">
        <f aca="false">PI()*POWER((S719/200),2)</f>
        <v>0</v>
      </c>
      <c r="AA719" s="15" t="n">
        <f aca="false">PI()*POWER((T719/200),2)</f>
        <v>0</v>
      </c>
      <c r="AB719" s="15" t="n">
        <f aca="false">PI()*POWER((U719/200),2)</f>
        <v>0</v>
      </c>
    </row>
    <row r="720" customFormat="false" ht="15" hidden="false" customHeight="false" outlineLevel="0" collapsed="false">
      <c r="A720" s="2" t="s">
        <v>20</v>
      </c>
      <c r="B720" s="2" t="n">
        <v>4</v>
      </c>
      <c r="C720" s="9" t="n">
        <v>46264</v>
      </c>
      <c r="D720" s="2" t="n">
        <v>1</v>
      </c>
      <c r="E720" s="2" t="s">
        <v>85</v>
      </c>
      <c r="F720" s="2" t="s">
        <v>21</v>
      </c>
      <c r="G720" s="2" t="s">
        <v>86</v>
      </c>
      <c r="H720" s="2" t="s">
        <v>23</v>
      </c>
      <c r="I720" s="2" t="s">
        <v>25</v>
      </c>
      <c r="J720" s="2" t="n">
        <v>18</v>
      </c>
      <c r="K720" s="32" t="s">
        <v>139</v>
      </c>
      <c r="L720" s="15" t="n">
        <f aca="false">SUM(V720:AB720)</f>
        <v>0.00125663706143592</v>
      </c>
      <c r="M720" s="15" t="n">
        <f aca="false">MAX(O720:U720)</f>
        <v>4</v>
      </c>
      <c r="N720" s="15" t="n">
        <f aca="false">COUNTIF(M720,"&gt;9.9")</f>
        <v>0</v>
      </c>
      <c r="O720" s="2" t="n">
        <v>4</v>
      </c>
      <c r="V720" s="15" t="n">
        <f aca="false">PI()*POWER((O720/200),2)</f>
        <v>0.00125663706143592</v>
      </c>
      <c r="W720" s="15" t="n">
        <f aca="false">PI()*POWER((P720/200),2)</f>
        <v>0</v>
      </c>
      <c r="X720" s="15" t="n">
        <f aca="false">PI()*POWER((Q720/200),2)</f>
        <v>0</v>
      </c>
      <c r="Y720" s="15" t="n">
        <f aca="false">PI()*POWER((R720/200),2)</f>
        <v>0</v>
      </c>
      <c r="Z720" s="15" t="n">
        <f aca="false">PI()*POWER((S720/200),2)</f>
        <v>0</v>
      </c>
      <c r="AA720" s="15" t="n">
        <f aca="false">PI()*POWER((T720/200),2)</f>
        <v>0</v>
      </c>
      <c r="AB720" s="15" t="n">
        <f aca="false">PI()*POWER((U720/200),2)</f>
        <v>0</v>
      </c>
    </row>
    <row r="721" customFormat="false" ht="15" hidden="false" customHeight="false" outlineLevel="0" collapsed="false">
      <c r="A721" s="2" t="s">
        <v>20</v>
      </c>
      <c r="B721" s="2" t="n">
        <v>4</v>
      </c>
      <c r="C721" s="9" t="n">
        <v>46264</v>
      </c>
      <c r="D721" s="2" t="n">
        <v>1</v>
      </c>
      <c r="E721" s="2" t="s">
        <v>85</v>
      </c>
      <c r="F721" s="2" t="s">
        <v>21</v>
      </c>
      <c r="G721" s="2" t="s">
        <v>86</v>
      </c>
      <c r="H721" s="2" t="s">
        <v>23</v>
      </c>
      <c r="I721" s="2" t="s">
        <v>25</v>
      </c>
      <c r="J721" s="2" t="n">
        <v>19</v>
      </c>
      <c r="K721" s="32" t="s">
        <v>139</v>
      </c>
      <c r="L721" s="15" t="n">
        <f aca="false">SUM(V721:AB721)</f>
        <v>0.00125663706143592</v>
      </c>
      <c r="M721" s="15" t="n">
        <f aca="false">MAX(O721:U721)</f>
        <v>4</v>
      </c>
      <c r="N721" s="15" t="n">
        <f aca="false">COUNTIF(M721,"&gt;9.9")</f>
        <v>0</v>
      </c>
      <c r="O721" s="2" t="n">
        <v>4</v>
      </c>
      <c r="V721" s="15" t="n">
        <f aca="false">PI()*POWER((O721/200),2)</f>
        <v>0.00125663706143592</v>
      </c>
      <c r="W721" s="15" t="n">
        <f aca="false">PI()*POWER((P721/200),2)</f>
        <v>0</v>
      </c>
      <c r="X721" s="15" t="n">
        <f aca="false">PI()*POWER((Q721/200),2)</f>
        <v>0</v>
      </c>
      <c r="Y721" s="15" t="n">
        <f aca="false">PI()*POWER((R721/200),2)</f>
        <v>0</v>
      </c>
      <c r="Z721" s="15" t="n">
        <f aca="false">PI()*POWER((S721/200),2)</f>
        <v>0</v>
      </c>
      <c r="AA721" s="15" t="n">
        <f aca="false">PI()*POWER((T721/200),2)</f>
        <v>0</v>
      </c>
      <c r="AB721" s="15" t="n">
        <f aca="false">PI()*POWER((U721/200),2)</f>
        <v>0</v>
      </c>
    </row>
    <row r="722" customFormat="false" ht="15" hidden="false" customHeight="false" outlineLevel="0" collapsed="false">
      <c r="A722" s="2" t="s">
        <v>20</v>
      </c>
      <c r="B722" s="2" t="n">
        <v>4</v>
      </c>
      <c r="C722" s="9" t="n">
        <v>46264</v>
      </c>
      <c r="D722" s="2" t="n">
        <v>1</v>
      </c>
      <c r="E722" s="2" t="s">
        <v>85</v>
      </c>
      <c r="F722" s="2" t="s">
        <v>21</v>
      </c>
      <c r="G722" s="2" t="s">
        <v>86</v>
      </c>
      <c r="H722" s="2" t="s">
        <v>23</v>
      </c>
      <c r="I722" s="2" t="s">
        <v>25</v>
      </c>
      <c r="J722" s="2" t="n">
        <v>20</v>
      </c>
      <c r="K722" s="32" t="s">
        <v>139</v>
      </c>
      <c r="L722" s="15" t="n">
        <f aca="false">SUM(V722:AB722)</f>
        <v>0.00125663706143592</v>
      </c>
      <c r="M722" s="15" t="n">
        <f aca="false">MAX(O722:U722)</f>
        <v>4</v>
      </c>
      <c r="N722" s="15" t="n">
        <f aca="false">COUNTIF(M722,"&gt;9.9")</f>
        <v>0</v>
      </c>
      <c r="O722" s="2" t="n">
        <v>4</v>
      </c>
      <c r="V722" s="15" t="n">
        <f aca="false">PI()*POWER((O722/200),2)</f>
        <v>0.00125663706143592</v>
      </c>
      <c r="W722" s="15" t="n">
        <f aca="false">PI()*POWER((P722/200),2)</f>
        <v>0</v>
      </c>
      <c r="X722" s="15" t="n">
        <f aca="false">PI()*POWER((Q722/200),2)</f>
        <v>0</v>
      </c>
      <c r="Y722" s="15" t="n">
        <f aca="false">PI()*POWER((R722/200),2)</f>
        <v>0</v>
      </c>
      <c r="Z722" s="15" t="n">
        <f aca="false">PI()*POWER((S722/200),2)</f>
        <v>0</v>
      </c>
      <c r="AA722" s="15" t="n">
        <f aca="false">PI()*POWER((T722/200),2)</f>
        <v>0</v>
      </c>
      <c r="AB722" s="15" t="n">
        <f aca="false">PI()*POWER((U722/200),2)</f>
        <v>0</v>
      </c>
    </row>
    <row r="723" customFormat="false" ht="15" hidden="false" customHeight="false" outlineLevel="0" collapsed="false">
      <c r="A723" s="2" t="s">
        <v>20</v>
      </c>
      <c r="B723" s="2" t="n">
        <v>4</v>
      </c>
      <c r="C723" s="9" t="n">
        <v>46264</v>
      </c>
      <c r="D723" s="2" t="n">
        <v>1</v>
      </c>
      <c r="E723" s="2" t="s">
        <v>85</v>
      </c>
      <c r="F723" s="2" t="s">
        <v>21</v>
      </c>
      <c r="G723" s="2" t="s">
        <v>86</v>
      </c>
      <c r="H723" s="2" t="s">
        <v>23</v>
      </c>
      <c r="I723" s="2" t="s">
        <v>25</v>
      </c>
      <c r="J723" s="2" t="n">
        <v>21</v>
      </c>
      <c r="K723" s="32" t="s">
        <v>139</v>
      </c>
      <c r="L723" s="15" t="n">
        <f aca="false">SUM(V723:AB723)</f>
        <v>0.00125663706143592</v>
      </c>
      <c r="M723" s="15" t="n">
        <f aca="false">MAX(O723:U723)</f>
        <v>4</v>
      </c>
      <c r="N723" s="15" t="n">
        <f aca="false">COUNTIF(M723,"&gt;9.9")</f>
        <v>0</v>
      </c>
      <c r="O723" s="2" t="n">
        <v>4</v>
      </c>
      <c r="V723" s="15" t="n">
        <f aca="false">PI()*POWER((O723/200),2)</f>
        <v>0.00125663706143592</v>
      </c>
      <c r="W723" s="15" t="n">
        <f aca="false">PI()*POWER((P723/200),2)</f>
        <v>0</v>
      </c>
      <c r="X723" s="15" t="n">
        <f aca="false">PI()*POWER((Q723/200),2)</f>
        <v>0</v>
      </c>
      <c r="Y723" s="15" t="n">
        <f aca="false">PI()*POWER((R723/200),2)</f>
        <v>0</v>
      </c>
      <c r="Z723" s="15" t="n">
        <f aca="false">PI()*POWER((S723/200),2)</f>
        <v>0</v>
      </c>
      <c r="AA723" s="15" t="n">
        <f aca="false">PI()*POWER((T723/200),2)</f>
        <v>0</v>
      </c>
      <c r="AB723" s="15" t="n">
        <f aca="false">PI()*POWER((U723/200),2)</f>
        <v>0</v>
      </c>
    </row>
    <row r="724" customFormat="false" ht="15" hidden="false" customHeight="false" outlineLevel="0" collapsed="false">
      <c r="A724" s="2" t="s">
        <v>20</v>
      </c>
      <c r="B724" s="2" t="n">
        <v>4</v>
      </c>
      <c r="C724" s="9" t="n">
        <v>46264</v>
      </c>
      <c r="D724" s="2" t="n">
        <v>1</v>
      </c>
      <c r="E724" s="2" t="s">
        <v>85</v>
      </c>
      <c r="F724" s="2" t="s">
        <v>21</v>
      </c>
      <c r="G724" s="2" t="s">
        <v>86</v>
      </c>
      <c r="H724" s="2" t="s">
        <v>23</v>
      </c>
      <c r="I724" s="2" t="s">
        <v>25</v>
      </c>
      <c r="J724" s="2" t="n">
        <v>26</v>
      </c>
      <c r="K724" s="32" t="s">
        <v>139</v>
      </c>
      <c r="L724" s="15" t="n">
        <f aca="false">SUM(V724:AB724)</f>
        <v>0.00125663706143592</v>
      </c>
      <c r="M724" s="15" t="n">
        <f aca="false">MAX(O724:U724)</f>
        <v>4</v>
      </c>
      <c r="N724" s="15" t="n">
        <f aca="false">COUNTIF(M724,"&gt;9.9")</f>
        <v>0</v>
      </c>
      <c r="O724" s="2" t="n">
        <v>4</v>
      </c>
      <c r="V724" s="15" t="n">
        <f aca="false">PI()*POWER((O724/200),2)</f>
        <v>0.00125663706143592</v>
      </c>
      <c r="W724" s="15" t="n">
        <f aca="false">PI()*POWER((P724/200),2)</f>
        <v>0</v>
      </c>
      <c r="X724" s="15" t="n">
        <f aca="false">PI()*POWER((Q724/200),2)</f>
        <v>0</v>
      </c>
      <c r="Y724" s="15" t="n">
        <f aca="false">PI()*POWER((R724/200),2)</f>
        <v>0</v>
      </c>
      <c r="Z724" s="15" t="n">
        <f aca="false">PI()*POWER((S724/200),2)</f>
        <v>0</v>
      </c>
      <c r="AA724" s="15" t="n">
        <f aca="false">PI()*POWER((T724/200),2)</f>
        <v>0</v>
      </c>
      <c r="AB724" s="15" t="n">
        <f aca="false">PI()*POWER((U724/200),2)</f>
        <v>0</v>
      </c>
    </row>
    <row r="725" customFormat="false" ht="15" hidden="false" customHeight="false" outlineLevel="0" collapsed="false">
      <c r="A725" s="2" t="s">
        <v>20</v>
      </c>
      <c r="B725" s="2" t="n">
        <v>4</v>
      </c>
      <c r="C725" s="9" t="n">
        <v>46264</v>
      </c>
      <c r="D725" s="2" t="n">
        <v>1</v>
      </c>
      <c r="E725" s="2" t="s">
        <v>85</v>
      </c>
      <c r="F725" s="2" t="s">
        <v>21</v>
      </c>
      <c r="G725" s="2" t="s">
        <v>86</v>
      </c>
      <c r="H725" s="2" t="s">
        <v>23</v>
      </c>
      <c r="I725" s="2" t="s">
        <v>25</v>
      </c>
      <c r="J725" s="2" t="n">
        <v>23</v>
      </c>
      <c r="K725" s="32" t="s">
        <v>139</v>
      </c>
      <c r="L725" s="15" t="n">
        <f aca="false">SUM(V725:AB725)</f>
        <v>0.00196349540849362</v>
      </c>
      <c r="M725" s="15" t="n">
        <f aca="false">MAX(O725:U725)</f>
        <v>5</v>
      </c>
      <c r="N725" s="15" t="n">
        <f aca="false">COUNTIF(M725,"&gt;9.9")</f>
        <v>0</v>
      </c>
      <c r="O725" s="2" t="n">
        <v>5</v>
      </c>
      <c r="V725" s="15" t="n">
        <f aca="false">PI()*POWER((O725/200),2)</f>
        <v>0.00196349540849362</v>
      </c>
      <c r="W725" s="15" t="n">
        <f aca="false">PI()*POWER((P725/200),2)</f>
        <v>0</v>
      </c>
      <c r="X725" s="15" t="n">
        <f aca="false">PI()*POWER((Q725/200),2)</f>
        <v>0</v>
      </c>
      <c r="Y725" s="15" t="n">
        <f aca="false">PI()*POWER((R725/200),2)</f>
        <v>0</v>
      </c>
      <c r="Z725" s="15" t="n">
        <f aca="false">PI()*POWER((S725/200),2)</f>
        <v>0</v>
      </c>
      <c r="AA725" s="15" t="n">
        <f aca="false">PI()*POWER((T725/200),2)</f>
        <v>0</v>
      </c>
      <c r="AB725" s="15" t="n">
        <f aca="false">PI()*POWER((U725/200),2)</f>
        <v>0</v>
      </c>
    </row>
    <row r="726" customFormat="false" ht="15" hidden="false" customHeight="false" outlineLevel="0" collapsed="false">
      <c r="A726" s="2" t="s">
        <v>20</v>
      </c>
      <c r="B726" s="2" t="n">
        <v>4</v>
      </c>
      <c r="C726" s="9" t="n">
        <v>46264</v>
      </c>
      <c r="D726" s="2" t="n">
        <v>1</v>
      </c>
      <c r="E726" s="2" t="s">
        <v>85</v>
      </c>
      <c r="F726" s="2" t="s">
        <v>21</v>
      </c>
      <c r="G726" s="2" t="s">
        <v>86</v>
      </c>
      <c r="H726" s="2" t="s">
        <v>23</v>
      </c>
      <c r="I726" s="2" t="s">
        <v>25</v>
      </c>
      <c r="J726" s="2" t="n">
        <v>7</v>
      </c>
      <c r="K726" s="32" t="s">
        <v>139</v>
      </c>
      <c r="L726" s="15" t="n">
        <f aca="false">SUM(V726:AB726)</f>
        <v>0.00282743338823081</v>
      </c>
      <c r="M726" s="15" t="n">
        <f aca="false">MAX(O726:U726)</f>
        <v>6</v>
      </c>
      <c r="N726" s="15" t="n">
        <f aca="false">COUNTIF(M726,"&gt;9.9")</f>
        <v>0</v>
      </c>
      <c r="O726" s="2" t="n">
        <v>6</v>
      </c>
      <c r="V726" s="15" t="n">
        <f aca="false">PI()*POWER((O726/200),2)</f>
        <v>0.00282743338823081</v>
      </c>
      <c r="W726" s="15" t="n">
        <f aca="false">PI()*POWER((P726/200),2)</f>
        <v>0</v>
      </c>
      <c r="X726" s="15" t="n">
        <f aca="false">PI()*POWER((Q726/200),2)</f>
        <v>0</v>
      </c>
      <c r="Y726" s="15" t="n">
        <f aca="false">PI()*POWER((R726/200),2)</f>
        <v>0</v>
      </c>
      <c r="Z726" s="15" t="n">
        <f aca="false">PI()*POWER((S726/200),2)</f>
        <v>0</v>
      </c>
      <c r="AA726" s="15" t="n">
        <f aca="false">PI()*POWER((T726/200),2)</f>
        <v>0</v>
      </c>
      <c r="AB726" s="15" t="n">
        <f aca="false">PI()*POWER((U726/200),2)</f>
        <v>0</v>
      </c>
    </row>
    <row r="727" customFormat="false" ht="15" hidden="false" customHeight="false" outlineLevel="0" collapsed="false">
      <c r="A727" s="2" t="s">
        <v>20</v>
      </c>
      <c r="B727" s="2" t="n">
        <v>4</v>
      </c>
      <c r="C727" s="9" t="n">
        <v>46264</v>
      </c>
      <c r="D727" s="2" t="n">
        <v>1</v>
      </c>
      <c r="E727" s="2" t="s">
        <v>85</v>
      </c>
      <c r="F727" s="2" t="s">
        <v>21</v>
      </c>
      <c r="G727" s="2" t="s">
        <v>86</v>
      </c>
      <c r="H727" s="2" t="s">
        <v>23</v>
      </c>
      <c r="I727" s="2" t="s">
        <v>25</v>
      </c>
      <c r="J727" s="2" t="n">
        <v>12</v>
      </c>
      <c r="K727" s="32" t="s">
        <v>139</v>
      </c>
      <c r="L727" s="15" t="n">
        <f aca="false">SUM(V727:AB727)</f>
        <v>0.00282743338823081</v>
      </c>
      <c r="M727" s="15" t="n">
        <f aca="false">MAX(O727:U727)</f>
        <v>6</v>
      </c>
      <c r="N727" s="15" t="n">
        <f aca="false">COUNTIF(M727,"&gt;9.9")</f>
        <v>0</v>
      </c>
      <c r="O727" s="2" t="n">
        <v>6</v>
      </c>
      <c r="V727" s="15" t="n">
        <f aca="false">PI()*POWER((O727/200),2)</f>
        <v>0.00282743338823081</v>
      </c>
      <c r="W727" s="15" t="n">
        <f aca="false">PI()*POWER((P727/200),2)</f>
        <v>0</v>
      </c>
      <c r="X727" s="15" t="n">
        <f aca="false">PI()*POWER((Q727/200),2)</f>
        <v>0</v>
      </c>
      <c r="Y727" s="15" t="n">
        <f aca="false">PI()*POWER((R727/200),2)</f>
        <v>0</v>
      </c>
      <c r="Z727" s="15" t="n">
        <f aca="false">PI()*POWER((S727/200),2)</f>
        <v>0</v>
      </c>
      <c r="AA727" s="15" t="n">
        <f aca="false">PI()*POWER((T727/200),2)</f>
        <v>0</v>
      </c>
      <c r="AB727" s="15" t="n">
        <f aca="false">PI()*POWER((U727/200),2)</f>
        <v>0</v>
      </c>
    </row>
    <row r="728" customFormat="false" ht="15" hidden="false" customHeight="false" outlineLevel="0" collapsed="false">
      <c r="A728" s="2" t="s">
        <v>20</v>
      </c>
      <c r="B728" s="2" t="n">
        <v>4</v>
      </c>
      <c r="C728" s="9" t="n">
        <v>46264</v>
      </c>
      <c r="D728" s="2" t="n">
        <v>1</v>
      </c>
      <c r="E728" s="2" t="s">
        <v>85</v>
      </c>
      <c r="F728" s="2" t="s">
        <v>21</v>
      </c>
      <c r="G728" s="2" t="s">
        <v>86</v>
      </c>
      <c r="H728" s="2" t="s">
        <v>23</v>
      </c>
      <c r="I728" s="2" t="s">
        <v>25</v>
      </c>
      <c r="J728" s="2" t="n">
        <v>22</v>
      </c>
      <c r="K728" s="32" t="s">
        <v>139</v>
      </c>
      <c r="L728" s="15" t="n">
        <f aca="false">SUM(V728:AB728)</f>
        <v>0.00282743338823081</v>
      </c>
      <c r="M728" s="15" t="n">
        <f aca="false">MAX(O728:U728)</f>
        <v>6</v>
      </c>
      <c r="N728" s="15" t="n">
        <f aca="false">COUNTIF(M728,"&gt;9.9")</f>
        <v>0</v>
      </c>
      <c r="O728" s="2" t="n">
        <v>6</v>
      </c>
      <c r="V728" s="15" t="n">
        <f aca="false">PI()*POWER((O728/200),2)</f>
        <v>0.00282743338823081</v>
      </c>
      <c r="W728" s="15" t="n">
        <f aca="false">PI()*POWER((P728/200),2)</f>
        <v>0</v>
      </c>
      <c r="X728" s="15" t="n">
        <f aca="false">PI()*POWER((Q728/200),2)</f>
        <v>0</v>
      </c>
      <c r="Y728" s="15" t="n">
        <f aca="false">PI()*POWER((R728/200),2)</f>
        <v>0</v>
      </c>
      <c r="Z728" s="15" t="n">
        <f aca="false">PI()*POWER((S728/200),2)</f>
        <v>0</v>
      </c>
      <c r="AA728" s="15" t="n">
        <f aca="false">PI()*POWER((T728/200),2)</f>
        <v>0</v>
      </c>
      <c r="AB728" s="15" t="n">
        <f aca="false">PI()*POWER((U728/200),2)</f>
        <v>0</v>
      </c>
    </row>
    <row r="729" customFormat="false" ht="15" hidden="false" customHeight="false" outlineLevel="0" collapsed="false">
      <c r="A729" s="2" t="s">
        <v>20</v>
      </c>
      <c r="B729" s="2" t="n">
        <v>4</v>
      </c>
      <c r="C729" s="9" t="n">
        <v>46264</v>
      </c>
      <c r="D729" s="2" t="n">
        <v>1</v>
      </c>
      <c r="E729" s="2" t="s">
        <v>85</v>
      </c>
      <c r="F729" s="2" t="s">
        <v>21</v>
      </c>
      <c r="G729" s="2" t="s">
        <v>86</v>
      </c>
      <c r="H729" s="2" t="s">
        <v>23</v>
      </c>
      <c r="I729" s="2" t="s">
        <v>25</v>
      </c>
      <c r="J729" s="2" t="n">
        <v>31</v>
      </c>
      <c r="K729" s="2" t="s">
        <v>87</v>
      </c>
      <c r="L729" s="15" t="n">
        <f aca="false">SUM(V729:AB729)</f>
        <v>0.00125663706143592</v>
      </c>
      <c r="M729" s="15" t="n">
        <f aca="false">MAX(O729:U729)</f>
        <v>4</v>
      </c>
      <c r="N729" s="15" t="n">
        <f aca="false">COUNTIF(M729,"&gt;9.9")</f>
        <v>0</v>
      </c>
      <c r="O729" s="2" t="n">
        <v>4</v>
      </c>
      <c r="V729" s="15" t="n">
        <f aca="false">PI()*POWER((O729/200),2)</f>
        <v>0.00125663706143592</v>
      </c>
      <c r="W729" s="15" t="n">
        <f aca="false">PI()*POWER((P729/200),2)</f>
        <v>0</v>
      </c>
      <c r="X729" s="15" t="n">
        <f aca="false">PI()*POWER((Q729/200),2)</f>
        <v>0</v>
      </c>
      <c r="Y729" s="15" t="n">
        <f aca="false">PI()*POWER((R729/200),2)</f>
        <v>0</v>
      </c>
      <c r="Z729" s="15" t="n">
        <f aca="false">PI()*POWER((S729/200),2)</f>
        <v>0</v>
      </c>
      <c r="AA729" s="15" t="n">
        <f aca="false">PI()*POWER((T729/200),2)</f>
        <v>0</v>
      </c>
      <c r="AB729" s="15" t="n">
        <f aca="false">PI()*POWER((U729/200),2)</f>
        <v>0</v>
      </c>
    </row>
    <row r="730" customFormat="false" ht="15" hidden="false" customHeight="false" outlineLevel="0" collapsed="false">
      <c r="A730" s="2" t="s">
        <v>20</v>
      </c>
      <c r="B730" s="2" t="n">
        <v>4</v>
      </c>
      <c r="C730" s="9" t="n">
        <v>46264</v>
      </c>
      <c r="D730" s="2" t="n">
        <v>1</v>
      </c>
      <c r="E730" s="2" t="s">
        <v>85</v>
      </c>
      <c r="F730" s="2" t="s">
        <v>21</v>
      </c>
      <c r="G730" s="2" t="s">
        <v>86</v>
      </c>
      <c r="H730" s="2" t="s">
        <v>23</v>
      </c>
      <c r="I730" s="2" t="s">
        <v>25</v>
      </c>
      <c r="J730" s="2" t="n">
        <v>32</v>
      </c>
      <c r="K730" s="2" t="s">
        <v>87</v>
      </c>
      <c r="L730" s="15" t="n">
        <f aca="false">SUM(V730:AB730)</f>
        <v>0.0038484510006475</v>
      </c>
      <c r="M730" s="15" t="n">
        <f aca="false">MAX(O730:U730)</f>
        <v>7</v>
      </c>
      <c r="N730" s="15" t="n">
        <f aca="false">COUNTIF(M730,"&gt;9.9")</f>
        <v>0</v>
      </c>
      <c r="O730" s="2" t="n">
        <v>7</v>
      </c>
      <c r="V730" s="15" t="n">
        <f aca="false">PI()*POWER((O730/200),2)</f>
        <v>0.0038484510006475</v>
      </c>
      <c r="W730" s="15" t="n">
        <f aca="false">PI()*POWER((P730/200),2)</f>
        <v>0</v>
      </c>
      <c r="X730" s="15" t="n">
        <f aca="false">PI()*POWER((Q730/200),2)</f>
        <v>0</v>
      </c>
      <c r="Y730" s="15" t="n">
        <f aca="false">PI()*POWER((R730/200),2)</f>
        <v>0</v>
      </c>
      <c r="Z730" s="15" t="n">
        <f aca="false">PI()*POWER((S730/200),2)</f>
        <v>0</v>
      </c>
      <c r="AA730" s="15" t="n">
        <f aca="false">PI()*POWER((T730/200),2)</f>
        <v>0</v>
      </c>
      <c r="AB730" s="15" t="n">
        <f aca="false">PI()*POWER((U730/200),2)</f>
        <v>0</v>
      </c>
    </row>
    <row r="731" customFormat="false" ht="15" hidden="false" customHeight="false" outlineLevel="0" collapsed="false">
      <c r="A731" s="2" t="s">
        <v>20</v>
      </c>
      <c r="B731" s="2" t="n">
        <v>4</v>
      </c>
      <c r="C731" s="9" t="n">
        <v>46264</v>
      </c>
      <c r="D731" s="2" t="n">
        <v>1</v>
      </c>
      <c r="E731" s="2" t="s">
        <v>85</v>
      </c>
      <c r="F731" s="2" t="s">
        <v>21</v>
      </c>
      <c r="G731" s="2" t="s">
        <v>86</v>
      </c>
      <c r="H731" s="2" t="s">
        <v>23</v>
      </c>
      <c r="I731" s="2" t="s">
        <v>25</v>
      </c>
      <c r="J731" s="2" t="n">
        <v>29</v>
      </c>
      <c r="K731" s="2" t="s">
        <v>147</v>
      </c>
      <c r="L731" s="15" t="n">
        <f aca="false">SUM(V731:AB731)</f>
        <v>0.000314159265358979</v>
      </c>
      <c r="M731" s="15" t="n">
        <f aca="false">MAX(O731:U731)</f>
        <v>2</v>
      </c>
      <c r="N731" s="15" t="n">
        <f aca="false">COUNTIF(M731,"&gt;9.9")</f>
        <v>0</v>
      </c>
      <c r="O731" s="2" t="n">
        <v>2</v>
      </c>
      <c r="V731" s="15" t="n">
        <f aca="false">PI()*POWER((O731/200),2)</f>
        <v>0.000314159265358979</v>
      </c>
      <c r="W731" s="15" t="n">
        <f aca="false">PI()*POWER((P731/200),2)</f>
        <v>0</v>
      </c>
      <c r="X731" s="15" t="n">
        <f aca="false">PI()*POWER((Q731/200),2)</f>
        <v>0</v>
      </c>
      <c r="Y731" s="15" t="n">
        <f aca="false">PI()*POWER((R731/200),2)</f>
        <v>0</v>
      </c>
      <c r="Z731" s="15" t="n">
        <f aca="false">PI()*POWER((S731/200),2)</f>
        <v>0</v>
      </c>
      <c r="AA731" s="15" t="n">
        <f aca="false">PI()*POWER((T731/200),2)</f>
        <v>0</v>
      </c>
      <c r="AB731" s="15" t="n">
        <f aca="false">PI()*POWER((U731/200),2)</f>
        <v>0</v>
      </c>
    </row>
    <row r="732" customFormat="false" ht="15" hidden="false" customHeight="false" outlineLevel="0" collapsed="false">
      <c r="A732" s="2" t="s">
        <v>20</v>
      </c>
      <c r="B732" s="2" t="n">
        <v>4</v>
      </c>
      <c r="C732" s="9" t="n">
        <v>46264</v>
      </c>
      <c r="D732" s="2" t="n">
        <v>1</v>
      </c>
      <c r="E732" s="2" t="s">
        <v>85</v>
      </c>
      <c r="F732" s="2" t="s">
        <v>21</v>
      </c>
      <c r="G732" s="2" t="s">
        <v>86</v>
      </c>
      <c r="H732" s="2" t="s">
        <v>23</v>
      </c>
      <c r="I732" s="2" t="s">
        <v>25</v>
      </c>
      <c r="J732" s="2" t="n">
        <v>28</v>
      </c>
      <c r="K732" s="2" t="s">
        <v>147</v>
      </c>
      <c r="L732" s="15" t="n">
        <f aca="false">SUM(V732:AB732)</f>
        <v>0.00196349540849362</v>
      </c>
      <c r="M732" s="15" t="n">
        <f aca="false">MAX(O732:U732)</f>
        <v>5</v>
      </c>
      <c r="N732" s="15" t="n">
        <f aca="false">COUNTIF(M732,"&gt;9.9")</f>
        <v>0</v>
      </c>
      <c r="O732" s="2" t="n">
        <v>5</v>
      </c>
      <c r="V732" s="15" t="n">
        <f aca="false">PI()*POWER((O732/200),2)</f>
        <v>0.00196349540849362</v>
      </c>
      <c r="W732" s="15" t="n">
        <f aca="false">PI()*POWER((P732/200),2)</f>
        <v>0</v>
      </c>
      <c r="X732" s="15" t="n">
        <f aca="false">PI()*POWER((Q732/200),2)</f>
        <v>0</v>
      </c>
      <c r="Y732" s="15" t="n">
        <f aca="false">PI()*POWER((R732/200),2)</f>
        <v>0</v>
      </c>
      <c r="Z732" s="15" t="n">
        <f aca="false">PI()*POWER((S732/200),2)</f>
        <v>0</v>
      </c>
      <c r="AA732" s="15" t="n">
        <f aca="false">PI()*POWER((T732/200),2)</f>
        <v>0</v>
      </c>
      <c r="AB732" s="15" t="n">
        <f aca="false">PI()*POWER((U732/200),2)</f>
        <v>0</v>
      </c>
    </row>
    <row r="733" customFormat="false" ht="15" hidden="false" customHeight="false" outlineLevel="0" collapsed="false">
      <c r="A733" s="2" t="s">
        <v>20</v>
      </c>
      <c r="B733" s="2" t="n">
        <v>4</v>
      </c>
      <c r="C733" s="9" t="n">
        <v>46264</v>
      </c>
      <c r="D733" s="2" t="n">
        <v>1</v>
      </c>
      <c r="E733" s="2" t="s">
        <v>85</v>
      </c>
      <c r="F733" s="2" t="s">
        <v>21</v>
      </c>
      <c r="G733" s="2" t="s">
        <v>86</v>
      </c>
      <c r="H733" s="2" t="s">
        <v>23</v>
      </c>
      <c r="I733" s="2" t="s">
        <v>25</v>
      </c>
      <c r="J733" s="2" t="n">
        <v>30</v>
      </c>
      <c r="K733" s="2" t="s">
        <v>147</v>
      </c>
      <c r="L733" s="15" t="n">
        <f aca="false">SUM(V733:AB733)</f>
        <v>0.00196349540849362</v>
      </c>
      <c r="M733" s="15" t="n">
        <f aca="false">MAX(O733:U733)</f>
        <v>5</v>
      </c>
      <c r="N733" s="15" t="n">
        <f aca="false">COUNTIF(M733,"&gt;9.9")</f>
        <v>0</v>
      </c>
      <c r="O733" s="2" t="n">
        <v>5</v>
      </c>
      <c r="V733" s="15" t="n">
        <f aca="false">PI()*POWER((O733/200),2)</f>
        <v>0.00196349540849362</v>
      </c>
      <c r="W733" s="15" t="n">
        <f aca="false">PI()*POWER((P733/200),2)</f>
        <v>0</v>
      </c>
      <c r="X733" s="15" t="n">
        <f aca="false">PI()*POWER((Q733/200),2)</f>
        <v>0</v>
      </c>
      <c r="Y733" s="15" t="n">
        <f aca="false">PI()*POWER((R733/200),2)</f>
        <v>0</v>
      </c>
      <c r="Z733" s="15" t="n">
        <f aca="false">PI()*POWER((S733/200),2)</f>
        <v>0</v>
      </c>
      <c r="AA733" s="15" t="n">
        <f aca="false">PI()*POWER((T733/200),2)</f>
        <v>0</v>
      </c>
      <c r="AB733" s="15" t="n">
        <f aca="false">PI()*POWER((U733/200),2)</f>
        <v>0</v>
      </c>
    </row>
    <row r="734" customFormat="false" ht="15" hidden="false" customHeight="false" outlineLevel="0" collapsed="false">
      <c r="A734" s="2" t="s">
        <v>20</v>
      </c>
      <c r="B734" s="2" t="n">
        <v>4</v>
      </c>
      <c r="C734" s="33" t="n">
        <v>46265</v>
      </c>
      <c r="D734" s="2" t="n">
        <v>2</v>
      </c>
      <c r="E734" s="2" t="s">
        <v>26</v>
      </c>
      <c r="F734" s="2" t="s">
        <v>27</v>
      </c>
      <c r="G734" s="2" t="s">
        <v>28</v>
      </c>
      <c r="H734" s="2" t="s">
        <v>95</v>
      </c>
      <c r="I734" s="2" t="s">
        <v>30</v>
      </c>
      <c r="J734" s="2" t="n">
        <v>2</v>
      </c>
      <c r="K734" s="32" t="s">
        <v>97</v>
      </c>
      <c r="L734" s="63" t="n">
        <f aca="false">SUM(V734:AB734)</f>
        <v>0.000176714586764426</v>
      </c>
      <c r="M734" s="63" t="n">
        <f aca="false">MAX(O734:U734)</f>
        <v>1.5</v>
      </c>
      <c r="N734" s="15" t="n">
        <f aca="false">COUNTIF(M734,"&gt;9.9")</f>
        <v>0</v>
      </c>
      <c r="O734" s="2" t="n">
        <v>1.5</v>
      </c>
      <c r="V734" s="63" t="n">
        <f aca="false">PI()*POWER((O734/200),2)</f>
        <v>0.000176714586764426</v>
      </c>
      <c r="W734" s="63" t="n">
        <f aca="false">PI()*POWER((P734/200),2)</f>
        <v>0</v>
      </c>
      <c r="X734" s="63" t="n">
        <f aca="false">PI()*POWER((Q734/200),2)</f>
        <v>0</v>
      </c>
      <c r="Y734" s="63" t="n">
        <f aca="false">PI()*POWER((R734/200),2)</f>
        <v>0</v>
      </c>
      <c r="Z734" s="63" t="n">
        <f aca="false">PI()*POWER((S734/200),2)</f>
        <v>0</v>
      </c>
      <c r="AA734" s="63" t="n">
        <f aca="false">PI()*POWER((T734/200),2)</f>
        <v>0</v>
      </c>
      <c r="AB734" s="63" t="n">
        <f aca="false">PI()*POWER((U734/200),2)</f>
        <v>0</v>
      </c>
    </row>
    <row r="735" customFormat="false" ht="15" hidden="false" customHeight="false" outlineLevel="0" collapsed="false">
      <c r="A735" s="2" t="s">
        <v>20</v>
      </c>
      <c r="B735" s="2" t="n">
        <v>4</v>
      </c>
      <c r="C735" s="33" t="n">
        <v>46265</v>
      </c>
      <c r="D735" s="2" t="n">
        <v>2</v>
      </c>
      <c r="E735" s="2" t="s">
        <v>26</v>
      </c>
      <c r="F735" s="2" t="s">
        <v>27</v>
      </c>
      <c r="G735" s="2" t="s">
        <v>28</v>
      </c>
      <c r="H735" s="2" t="s">
        <v>95</v>
      </c>
      <c r="I735" s="2" t="s">
        <v>30</v>
      </c>
      <c r="J735" s="2" t="n">
        <v>1</v>
      </c>
      <c r="K735" s="32" t="s">
        <v>97</v>
      </c>
      <c r="L735" s="63" t="n">
        <f aca="false">SUM(V735:AB735)</f>
        <v>0.00502654824574367</v>
      </c>
      <c r="M735" s="63" t="n">
        <f aca="false">MAX(O735:U735)</f>
        <v>8</v>
      </c>
      <c r="N735" s="15" t="n">
        <f aca="false">COUNTIF(M735,"&gt;9.9")</f>
        <v>0</v>
      </c>
      <c r="O735" s="2" t="n">
        <v>8</v>
      </c>
      <c r="V735" s="63" t="n">
        <f aca="false">PI()*POWER((O735/200),2)</f>
        <v>0.00502654824574367</v>
      </c>
      <c r="W735" s="63" t="n">
        <f aca="false">PI()*POWER((P735/200),2)</f>
        <v>0</v>
      </c>
      <c r="X735" s="63" t="n">
        <f aca="false">PI()*POWER((Q735/200),2)</f>
        <v>0</v>
      </c>
      <c r="Y735" s="63" t="n">
        <f aca="false">PI()*POWER((R735/200),2)</f>
        <v>0</v>
      </c>
      <c r="Z735" s="63" t="n">
        <f aca="false">PI()*POWER((S735/200),2)</f>
        <v>0</v>
      </c>
      <c r="AA735" s="63" t="n">
        <f aca="false">PI()*POWER((T735/200),2)</f>
        <v>0</v>
      </c>
      <c r="AB735" s="63" t="n">
        <f aca="false">PI()*POWER((U735/200),2)</f>
        <v>0</v>
      </c>
    </row>
    <row r="736" customFormat="false" ht="15" hidden="false" customHeight="false" outlineLevel="0" collapsed="false">
      <c r="A736" s="2" t="s">
        <v>20</v>
      </c>
      <c r="B736" s="2" t="n">
        <v>4</v>
      </c>
      <c r="C736" s="64" t="n">
        <v>46265</v>
      </c>
      <c r="D736" s="2" t="n">
        <v>3</v>
      </c>
      <c r="E736" s="2" t="s">
        <v>31</v>
      </c>
      <c r="F736" s="2" t="s">
        <v>34</v>
      </c>
      <c r="G736" s="2" t="s">
        <v>140</v>
      </c>
      <c r="H736" s="2" t="s">
        <v>32</v>
      </c>
      <c r="I736" s="2" t="s">
        <v>25</v>
      </c>
      <c r="J736" s="2" t="n">
        <v>0</v>
      </c>
      <c r="K736" s="66" t="s">
        <v>163</v>
      </c>
      <c r="L736" s="2" t="n">
        <v>0</v>
      </c>
      <c r="M736" s="63" t="n">
        <f aca="false">MAX(O736:U736)</f>
        <v>0</v>
      </c>
      <c r="N736" s="15" t="n">
        <f aca="false">COUNTIF(M736,"&gt;9.9")</f>
        <v>0</v>
      </c>
      <c r="O736" s="2" t="n">
        <v>0</v>
      </c>
      <c r="V736" s="15" t="n">
        <f aca="false">PI()*POWER((O736/200),2)</f>
        <v>0</v>
      </c>
      <c r="W736" s="15" t="n">
        <f aca="false">PI()*POWER((P736/200),2)</f>
        <v>0</v>
      </c>
      <c r="X736" s="15" t="n">
        <f aca="false">PI()*POWER((Q736/200),2)</f>
        <v>0</v>
      </c>
      <c r="Y736" s="15" t="n">
        <f aca="false">PI()*POWER((R736/200),2)</f>
        <v>0</v>
      </c>
      <c r="Z736" s="15" t="n">
        <f aca="false">PI()*POWER((S736/200),2)</f>
        <v>0</v>
      </c>
      <c r="AA736" s="15" t="n">
        <f aca="false">PI()*POWER((T736/200),2)</f>
        <v>0</v>
      </c>
      <c r="AB736" s="15" t="n">
        <f aca="false">PI()*POWER((U736/200),2)</f>
        <v>0</v>
      </c>
    </row>
    <row r="737" customFormat="false" ht="15" hidden="false" customHeight="false" outlineLevel="0" collapsed="false">
      <c r="A737" s="2" t="s">
        <v>20</v>
      </c>
      <c r="B737" s="2" t="n">
        <v>4</v>
      </c>
      <c r="C737" s="9" t="n">
        <v>46266</v>
      </c>
      <c r="D737" s="2" t="n">
        <v>4</v>
      </c>
      <c r="E737" s="2" t="s">
        <v>35</v>
      </c>
      <c r="F737" s="2" t="s">
        <v>36</v>
      </c>
      <c r="G737" s="2" t="s">
        <v>37</v>
      </c>
      <c r="H737" s="2" t="s">
        <v>38</v>
      </c>
      <c r="I737" s="2" t="s">
        <v>39</v>
      </c>
      <c r="J737" s="2" t="n">
        <v>100</v>
      </c>
      <c r="K737" s="32" t="s">
        <v>162</v>
      </c>
      <c r="L737" s="15" t="n">
        <f aca="false">SUM(V737:AB737)</f>
        <v>0.00220618344098343</v>
      </c>
      <c r="M737" s="15" t="n">
        <f aca="false">MAX(O737:U737)</f>
        <v>5.3</v>
      </c>
      <c r="N737" s="15" t="n">
        <f aca="false">COUNTIF(M737,"&gt;9.9")</f>
        <v>0</v>
      </c>
      <c r="O737" s="2" t="n">
        <v>5.3</v>
      </c>
      <c r="V737" s="15" t="n">
        <f aca="false">PI()*POWER((O737/200),2)</f>
        <v>0.00220618344098343</v>
      </c>
      <c r="W737" s="15" t="n">
        <f aca="false">PI()*POWER((P737/200),2)</f>
        <v>0</v>
      </c>
      <c r="X737" s="15" t="n">
        <f aca="false">PI()*POWER((Q737/200),2)</f>
        <v>0</v>
      </c>
      <c r="Y737" s="15" t="n">
        <f aca="false">PI()*POWER((R737/200),2)</f>
        <v>0</v>
      </c>
      <c r="Z737" s="15" t="n">
        <f aca="false">PI()*POWER((S737/200),2)</f>
        <v>0</v>
      </c>
      <c r="AA737" s="15" t="n">
        <f aca="false">PI()*POWER((T737/200),2)</f>
        <v>0</v>
      </c>
      <c r="AB737" s="15" t="n">
        <f aca="false">PI()*POWER((U737/200),2)</f>
        <v>0</v>
      </c>
    </row>
  </sheetData>
  <mergeCells count="2">
    <mergeCell ref="O1:U1"/>
    <mergeCell ref="V1:A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2026-09-01T03:58:44Z</dcterms:created>
  <dc:creator>Microsoft Office User</dc:creator>
  <dc:description/>
  <dc:language>en-US</dc:language>
  <cp:lastModifiedBy>Brown, Jed</cp:lastModifiedBy>
  <dcterms:modified xsi:type="dcterms:W3CDTF">2026-09-08T07:37:36Z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